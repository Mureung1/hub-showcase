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6477ac9d7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가이드" sheetId="1" r:id="Rfe1d54bef71f40dd"/>
    <x:sheet xmlns:r="http://schemas.openxmlformats.org/officeDocument/2006/relationships" name="영상 시나리오" sheetId="2" r:id="R323105bf9b2d4c4c"/>
    <x:sheet xmlns:r="http://schemas.openxmlformats.org/officeDocument/2006/relationships" name="구성안 비교" sheetId="3" r:id="R5fce418f068c42d3"/>
    <x:sheet xmlns:r="http://schemas.openxmlformats.org/officeDocument/2006/relationships" name="Figma 제작 목록" sheetId="4" r:id="R675f4893e02940ad"/>
    <x:sheet xmlns:r="http://schemas.openxmlformats.org/officeDocument/2006/relationships" name="촬영·편집 체크" sheetId="5" r:id="Rfc08380021d040e4"/>
    <x:sheet xmlns:r="http://schemas.openxmlformats.org/officeDocument/2006/relationships" name="최종 점검" sheetId="6" r:id="R856a9cf187e2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[m]:ss"/>
    <x:numFmt numFmtId="201" formatCode="0&quot;개&quot;"/>
    <x:numFmt numFmtId="202" formatCode="0&quot;초&quot;"/>
    <x:numFmt numFmtId="203" formatCode="yyyy-mm-dd"/>
    <x:numFmt numFmtId="204" formatCode="0.0"/>
    <x:numFmt numFmtId="205" formatCode="0&quot; / 40점&quot;"/>
  </x:numFmts>
  <x:fonts count="13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5B6573"/>
      <x:name val="Carlito"/>
    </x:font>
    <x:font>
      <x:b/>
      <x:sz val="11"/>
      <x:color rgb="FF152238"/>
      <x:name val="Carlito"/>
    </x:font>
    <x:font>
      <x:b/>
      <x:sz val="11"/>
      <x:color rgb="FFFFFFFF"/>
      <x:name val="Carlito"/>
    </x:font>
    <x:font>
      <x:sz val="10"/>
      <x:color rgb="FF263241"/>
      <x:name val="Carlito"/>
    </x:font>
    <x:font>
      <x:b/>
      <x:sz val="11"/>
      <x:color rgb="FF145A45"/>
      <x:name val="Carlito"/>
    </x:font>
    <x:font>
      <x:sz val="11"/>
      <x:color rgb="FF245446"/>
      <x:name val="Carlito"/>
    </x:font>
    <x:font>
      <x:b/>
      <x:sz val="11"/>
      <x:color rgb="FF7A5A00"/>
      <x:name val="Carlito"/>
    </x:font>
    <x:font>
      <x:b/>
      <x:sz val="12"/>
      <x:color rgb="FF152238"/>
      <x:name val="Carlito"/>
    </x:font>
    <x:font>
      <x:sz val="11"/>
      <x:color rgb="FF152238"/>
      <x:name val="Carlito"/>
    </x:font>
    <x:font>
      <x:b/>
      <x:sz val="10"/>
      <x:color rgb="FFFFFFFF"/>
      <x:name val="Carlito"/>
    </x:font>
    <x:font>
      <x:b/>
      <x:sz val="10"/>
      <x:color rgb="FF152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2D6CDF"/>
      </x:patternFill>
    </x:fill>
    <x:fill>
      <x:patternFill patternType="solid">
        <x:fgColor rgb="FFDFF7EE"/>
      </x:patternFill>
    </x:fill>
    <x:fill>
      <x:patternFill patternType="solid">
        <x:fgColor rgb="FFF3FBF7"/>
      </x:patternFill>
    </x:fill>
    <x:fill>
      <x:patternFill patternType="solid">
        <x:fgColor rgb="FFFFF2CC"/>
      </x:patternFill>
    </x:fill>
    <x:fill>
      <x:patternFill patternType="solid">
        <x:fgColor rgb="FFFFFBEB"/>
      </x:patternFill>
    </x:fill>
    <x:fill>
      <x:patternFill patternType="solid">
        <x:fgColor rgb="FFF6F8FB"/>
      </x:patternFill>
    </x:fill>
  </x:fills>
  <x:borders count="7">
    <x:border/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D8DEE8"/>
      </x:top>
    </x:border>
    <x:border>
      <x:right style="thin">
        <x:color rgb="FF90A8D8"/>
      </x:right>
    </x:border>
    <x:border>
      <x:left style="thin">
        <x:color rgb="FF90A8D8"/>
      </x:left>
      <x:right style="thin">
        <x:color rgb="FF90A8D8"/>
      </x:right>
    </x:border>
    <x:border>
      <x:left style="thin">
        <x:color rgb="FF90A8D8"/>
      </x:left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200" fontId="9" fillId="10" borderId="0" xfId="0" applyNumberFormat="1" applyFont="1" applyFill="1" applyBorder="1" applyAlignment="1">
      <x:alignment horizontal="center"/>
    </x:xf>
    <x:xf numFmtId="201" fontId="9" fillId="10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4" xfId="0" applyNumberFormat="1" applyFont="1" applyFill="1" applyBorder="1"/>
    <x:xf numFmtId="0" fontId="1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4" xfId="0" applyNumberFormat="1" applyFont="1" applyFill="1" applyBorder="1" applyAlignment="1">
      <x:alignment wrapText="1"/>
    </x:xf>
    <x:xf numFmtId="0" fontId="11" fillId="5" borderId="5" xfId="0" applyNumberFormat="1" applyFont="1" applyFill="1" applyBorder="1" applyAlignment="1">
      <x:alignment wrapText="1"/>
    </x:xf>
    <x:xf numFmtId="0" fontId="11" fillId="5" borderId="6" xfId="0" applyNumberFormat="1" applyFont="1" applyFill="1" applyBorder="1" applyAlignment="1">
      <x:alignment wrapText="1"/>
    </x:xf>
    <x:xf numFmtId="0" fontId="11" fillId="5" borderId="4" xfId="0" applyNumberFormat="1" applyFont="1" applyFill="1" applyBorder="1" applyAlignment="1">
      <x:alignment horizontal="center" wrapText="1"/>
    </x:xf>
    <x:xf numFmtId="0" fontId="11" fillId="5" borderId="5" xfId="0" applyNumberFormat="1" applyFont="1" applyFill="1" applyBorder="1" applyAlignment="1">
      <x:alignment horizontal="center" wrapText="1"/>
    </x:xf>
    <x:xf numFmtId="0" fontId="11" fillId="5" borderId="6" xfId="0" applyNumberFormat="1" applyFont="1" applyFill="1" applyBorder="1" applyAlignment="1">
      <x:alignment horizont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1" xfId="0" applyNumberFormat="1" applyFont="1" applyFill="1" applyBorder="1"/>
    <x:xf numFmtId="202" fontId="5" fillId="0" borderId="1" xfId="0" applyNumberFormat="1" applyFont="1" applyFill="1" applyBorder="1"/>
    <x:xf numFmtId="200" fontId="5" fillId="0" borderId="2" xfId="0" applyNumberFormat="1" applyFont="1" applyFill="1" applyBorder="1"/>
    <x:xf numFmtId="202" fontId="5" fillId="0" borderId="2" xfId="0" applyNumberFormat="1" applyFont="1" applyFill="1" applyBorder="1"/>
    <x:xf numFmtId="20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0" fontId="5" fillId="0" borderId="2" xfId="0" applyNumberFormat="1" applyFont="1" applyFill="1" applyBorder="1" applyAlignment="1">
      <x:alignment wrapText="1"/>
    </x:xf>
    <x:xf numFmtId="202" fontId="5" fillId="0" borderId="2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200" fontId="5" fillId="0" borderId="1" xfId="0" applyNumberFormat="1" applyFont="1" applyFill="1" applyBorder="1" applyAlignment="1">
      <x:alignment horizontal="center" vertical="top" wrapText="1"/>
    </x:xf>
    <x:xf numFmtId="202" fontId="5" fillId="0" borderId="1" xfId="0" applyNumberFormat="1" applyFont="1" applyFill="1" applyBorder="1" applyAlignment="1">
      <x:alignment horizontal="center" vertical="top" wrapText="1"/>
    </x:xf>
    <x:xf numFmtId="200" fontId="5" fillId="0" borderId="2" xfId="0" applyNumberFormat="1" applyFont="1" applyFill="1" applyBorder="1" applyAlignment="1">
      <x:alignment horizontal="center" vertical="top" wrapText="1"/>
    </x:xf>
    <x:xf numFmtId="202" fontId="5" fillId="0" borderId="2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vertical="top" wrapText="1"/>
    </x:xf>
    <x:xf numFmtId="0" fontId="12" fillId="3" borderId="2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top" wrapText="1"/>
    </x:xf>
    <x:xf numFmtId="203" fontId="5" fillId="0" borderId="2" xfId="0" applyNumberFormat="1" applyFont="1" applyFill="1" applyBorder="1" applyAlignment="1">
      <x:alignment vertical="top" wrapText="1"/>
    </x:xf>
    <x:xf numFmtId="204" fontId="9" fillId="10" borderId="0" xfId="0" applyNumberFormat="1" applyFont="1" applyFill="1" applyBorder="1" applyAlignment="1">
      <x:alignment horizontal="center"/>
    </x:xf>
    <x:xf numFmtId="205" fontId="9" fillId="1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8A1C1C"/>
      </x:font>
      <x:fill>
        <x:patternFill patternType="solid">
          <x:bgColor rgb="FFF8B4B4"/>
        </x:patternFill>
      </x:fill>
    </x:dxf>
    <x:dxf>
      <x:font>
        <x:b/>
        <x:color rgb="FF8A1C1C"/>
      </x:font>
      <x:fill>
        <x:patternFill patternType="solid">
          <x:bgColor rgb="FFF8B4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ad1111ec14d90" /><Relationship Type="http://schemas.openxmlformats.org/officeDocument/2006/relationships/theme" Target="/xl/theme/theme1.xml" Id="R9fb30859c07543fd" /><Relationship Type="http://schemas.openxmlformats.org/officeDocument/2006/relationships/sharedStrings" Target="/xl/sharedStrings.xml" Id="R26e5eb861a44418a" /><Relationship Type="http://schemas.openxmlformats.org/officeDocument/2006/relationships/worksheet" Target="/xl/worksheets/sheet1.xml" Id="Rfe1d54bef71f40dd" /><Relationship Type="http://schemas.openxmlformats.org/officeDocument/2006/relationships/worksheet" Target="/xl/worksheets/sheet2.xml" Id="R323105bf9b2d4c4c" /><Relationship Type="http://schemas.openxmlformats.org/officeDocument/2006/relationships/worksheet" Target="/xl/worksheets/sheet3.xml" Id="R5fce418f068c42d3" /><Relationship Type="http://schemas.openxmlformats.org/officeDocument/2006/relationships/worksheet" Target="/xl/worksheets/sheet4.xml" Id="R675f4893e02940ad" /><Relationship Type="http://schemas.openxmlformats.org/officeDocument/2006/relationships/worksheet" Target="/xl/worksheets/sheet5.xml" Id="Rfc08380021d040e4" /><Relationship Type="http://schemas.openxmlformats.org/officeDocument/2006/relationships/worksheet" Target="/xl/worksheets/sheet6.xml" Id="R856a9cf187e2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프로젝트 소개 영상 시나리오 양식</x:v>
      </x:c>
      <x:c r="B1" s="4" t="str">
        <x:v>프로젝트 소개 영상 시나리오 양식</x:v>
      </x:c>
      <x:c r="C1" s="4" t="str">
        <x:v>프로젝트 소개 영상 시나리오 양식</x:v>
      </x:c>
      <x:c r="D1" s="4" t="str">
        <x:v>프로젝트 소개 영상 시나리오 양식</x:v>
      </x:c>
      <x:c r="E1" s="4" t="str">
        <x:v>프로젝트 소개 영상 시나리오 양식</x:v>
      </x:c>
      <x:c r="F1" s="4" t="str">
        <x:v>프로젝트 소개 영상 시나리오 양식</x:v>
      </x:c>
      <x:c r="G1" s="4" t="str">
        <x:v>프로젝트 소개 영상 시나리오 양식</x:v>
      </x:c>
      <x:c r="H1" s="4" t="str">
        <x:v>프로젝트 소개 영상 시나리오 양식</x:v>
      </x:c>
    </x:row>
    <x:row r="2" ht="28" customHeight="1">
      <x:c r="A2" s="8" t="str">
        <x:v>목표 영상 길이를 직접 설정하고, 웹사이트 녹화 + Figma 설명 화면 + CapCut 자막 편집을 한 파일에서 관리합니다.</x:v>
      </x:c>
      <x:c r="B2" s="8" t="str">
        <x:v>목표 영상 길이를 직접 설정하고, 웹사이트 녹화 + Figma 설명 화면 + CapCut 자막 편집을 한 파일에서 관리합니다.</x:v>
      </x:c>
      <x:c r="C2" s="8" t="str">
        <x:v>목표 영상 길이를 직접 설정하고, 웹사이트 녹화 + Figma 설명 화면 + CapCut 자막 편집을 한 파일에서 관리합니다.</x:v>
      </x:c>
      <x:c r="D2" s="8" t="str">
        <x:v>목표 영상 길이를 직접 설정하고, 웹사이트 녹화 + Figma 설명 화면 + CapCut 자막 편집을 한 파일에서 관리합니다.</x:v>
      </x:c>
      <x:c r="E2" s="8" t="str">
        <x:v>목표 영상 길이를 직접 설정하고, 웹사이트 녹화 + Figma 설명 화면 + CapCut 자막 편집을 한 파일에서 관리합니다.</x:v>
      </x:c>
      <x:c r="F2" s="8" t="str">
        <x:v>목표 영상 길이를 직접 설정하고, 웹사이트 녹화 + Figma 설명 화면 + CapCut 자막 편집을 한 파일에서 관리합니다.</x:v>
      </x:c>
      <x:c r="G2" s="8" t="str">
        <x:v>목표 영상 길이를 직접 설정하고, 웹사이트 녹화 + Figma 설명 화면 + CapCut 자막 편집을 한 파일에서 관리합니다.</x:v>
      </x:c>
      <x:c r="H2" s="8" t="str">
        <x:v>목표 영상 길이를 직접 설정하고, 웹사이트 녹화 + Figma 설명 화면 + CapCut 자막 편집을 한 파일에서 관리합니다.</x:v>
      </x:c>
    </x:row>
    <x:row r="4">
      <x:c r="A4" s="10" t="str">
        <x:v>영상 길이</x:v>
      </x:c>
      <x:c r="B4" s="14" t="str">
        <x:v>프로젝트에 맞게 설정</x:v>
      </x:c>
      <x:c r="E4" s="29" t="str">
        <x:v>자막 작성 원칙</x:v>
      </x:c>
      <x:c r="F4" s="29" t="str">
        <x:v>자막 작성 원칙</x:v>
      </x:c>
      <x:c r="G4" s="29" t="str">
        <x:v>자막 작성 원칙</x:v>
      </x:c>
      <x:c r="H4" s="29" t="str">
        <x:v>자막 작성 원칙</x:v>
      </x:c>
    </x:row>
    <x:row r="5">
      <x:c r="A5" s="11" t="str">
        <x:v>목표 길이(초)</x:v>
      </x:c>
      <x:c r="B5" s="15" t="n">
        <x:v>300</x:v>
      </x:c>
      <x:c r="E5" s="33" t="str">
        <x:v>한 자막에는 한 가지 메시지만 담기</x:v>
      </x:c>
      <x:c r="F5" s="33"/>
      <x:c r="G5" s="33"/>
      <x:c r="H5" s="33"/>
    </x:row>
    <x:row r="6">
      <x:c r="A6" s="11" t="str">
        <x:v>권장 완성 길이</x:v>
      </x:c>
      <x:c r="B6" s="15" t="str">
        <x:v>목표보다 10~20초 짧게</x:v>
      </x:c>
      <x:c r="E6" s="33" t="str">
        <x:v>화면에서 이미 보이는 문구를 그대로 읽지 말고 의미를 설명하기</x:v>
      </x:c>
      <x:c r="F6" s="33"/>
      <x:c r="G6" s="33"/>
      <x:c r="H6" s="33"/>
    </x:row>
    <x:row r="7">
      <x:c r="A7" s="11" t="str">
        <x:v>주요 설명 방식</x:v>
      </x:c>
      <x:c r="B7" s="15" t="str">
        <x:v>화면 녹화 + Figma 오버레이 + 자막</x:v>
      </x:c>
      <x:c r="E7" s="33" t="str">
        <x:v>가능하면 2줄 이내, 한 줄은 짧게 유지하기</x:v>
      </x:c>
      <x:c r="F7" s="33"/>
      <x:c r="G7" s="33"/>
      <x:c r="H7" s="33"/>
    </x:row>
    <x:row r="8">
      <x:c r="A8" s="12" t="str">
        <x:v>편집 도구</x:v>
      </x:c>
      <x:c r="B8" s="16" t="str">
        <x:v>CapCut</x:v>
      </x:c>
      <x:c r="E8" s="33" t="str">
        <x:v>기술 용어는 처음 등장할 때만 풀어서 설명하기</x:v>
      </x:c>
      <x:c r="F8" s="33"/>
      <x:c r="G8" s="33"/>
      <x:c r="H8" s="33"/>
    </x:row>
    <x:row r="9">
      <x:c r="E9" s="33" t="str">
        <x:v>중요 숫자·성과·차별점은 Figma 강조 요소와 함께 보여주기</x:v>
      </x:c>
      <x:c r="F9" s="33"/>
      <x:c r="G9" s="33"/>
      <x:c r="H9" s="33"/>
    </x:row>
    <x:row r="10">
      <x:c r="A10" s="19" t="str">
        <x:v>작성 순서</x:v>
      </x:c>
      <x:c r="B10" s="19" t="str">
        <x:v>무엇을 쓰나</x:v>
      </x:c>
      <x:c r="C10" s="19" t="str">
        <x:v>완료 기준</x:v>
      </x:c>
      <x:c r="D10" t="str"/>
      <x:c r="E10" s="33" t="str">
        <x:v>말보다 화면이 빠르게 바뀌지 않도록 장면당 최소 3~4초 확보하기</x:v>
      </x:c>
      <x:c r="F10" s="33" t="str"/>
      <x:c r="G10" s="33" t="str"/>
      <x:c r="H10" s="33" t="str"/>
    </x:row>
    <x:row r="11">
      <x:c r="A11" s="25" t="str">
        <x:v>1</x:v>
      </x:c>
      <x:c r="B11" s="25" t="str">
        <x:v>‘구성안 비교’에서 영상 흐름 선택</x:v>
      </x:c>
      <x:c r="C11" s="25" t="str">
        <x:v>한 가지 구성안을 고르거나 섞어서 순서를 확정</x:v>
      </x:c>
    </x:row>
    <x:row r="12">
      <x:c r="A12" s="26" t="str">
        <x:v>2</x:v>
      </x:c>
      <x:c r="B12" s="26" t="str">
        <x:v>‘영상 시나리오’의 기본안을 프로젝트에 맞게 수정</x:v>
      </x:c>
      <x:c r="C12" s="26" t="str">
        <x:v>모든 장면에 목적·화면·자막이 작성됨</x:v>
      </x:c>
      <x:c r="E12" s="36" t="str">
        <x:v>함께 점검할 때 먼저 채워주면 좋은 정보</x:v>
      </x:c>
      <x:c r="F12" s="36" t="str">
        <x:v>함께 점검할 때 먼저 채워주면 좋은 정보</x:v>
      </x:c>
      <x:c r="G12" s="36" t="str">
        <x:v>함께 점검할 때 먼저 채워주면 좋은 정보</x:v>
      </x:c>
      <x:c r="H12" s="36" t="str">
        <x:v>함께 점검할 때 먼저 채워주면 좋은 정보</x:v>
      </x:c>
    </x:row>
    <x:row r="13">
      <x:c r="A13" s="26" t="str">
        <x:v>3</x:v>
      </x:c>
      <x:c r="B13" s="26" t="str">
        <x:v>‘Figma 제작 목록’에 설명 화면을 분리</x:v>
      </x:c>
      <x:c r="C13" s="26" t="str">
        <x:v>필요한 다이어그램·강조 요소가 빠짐없이 등록됨</x:v>
      </x:c>
      <x:c r="E13" s="39" t="str">
        <x:v>프로젝트 한 줄 정의와 해결하려는 문제</x:v>
      </x:c>
      <x:c r="F13" s="39"/>
      <x:c r="G13" s="39"/>
      <x:c r="H13" s="39"/>
    </x:row>
    <x:row r="14">
      <x:c r="A14" s="26" t="str">
        <x:v>4</x:v>
      </x:c>
      <x:c r="B14" s="26" t="str">
        <x:v>‘촬영·편집 체크’로 녹화 준비</x:v>
      </x:c>
      <x:c r="C14" s="26" t="str">
        <x:v>데모 데이터, 브라우저 상태, 해상도와 알림을 점검</x:v>
      </x:c>
      <x:c r="E14" s="39" t="str">
        <x:v>주요 사용자와 대표 사용 시나리오</x:v>
      </x:c>
      <x:c r="F14" s="39"/>
      <x:c r="G14" s="39"/>
      <x:c r="H14" s="39"/>
    </x:row>
    <x:row r="15">
      <x:c r="A15" s="26" t="str">
        <x:v>5</x:v>
      </x:c>
      <x:c r="B15" s="26" t="str">
        <x:v>CapCut에서 러프컷 후 실제 길이 반영</x:v>
      </x:c>
      <x:c r="C15" s="26" t="str">
        <x:v>총 길이 5분 이하, 불필요한 정지 구간 제거</x:v>
      </x:c>
      <x:c r="E15" s="39" t="str">
        <x:v>핵심 기능 2~3개 및 실제 데모 순서</x:v>
      </x:c>
      <x:c r="F15" s="39"/>
      <x:c r="G15" s="39"/>
      <x:c r="H15" s="39"/>
    </x:row>
    <x:row r="16">
      <x:c r="A16" s="26" t="str">
        <x:v>6</x:v>
      </x:c>
      <x:c r="B16" s="26" t="str">
        <x:v>‘최종 점검’에서 1~5점으로 자가 검토</x:v>
      </x:c>
      <x:c r="C16" s="26" t="str">
        <x:v>핵심 기준이 모두 4점 이상</x:v>
      </x:c>
      <x:c r="E16" s="39" t="str">
        <x:v>프론트엔드·백엔드·AI/외부 API 등 기술 구성</x:v>
      </x:c>
      <x:c r="F16" s="39"/>
      <x:c r="G16" s="39"/>
      <x:c r="H16" s="39"/>
    </x:row>
    <x:row r="17">
      <x:c r="E17" s="39" t="str">
        <x:v>개발 과정에서 가장 어려웠던 점과 배운 점</x:v>
      </x:c>
      <x:c r="F17" s="39"/>
      <x:c r="G17" s="39"/>
      <x:c r="H17" s="39"/>
    </x:row>
    <x:row r="19">
      <x:c r="A19" s="42" t="str">
        <x:v>TIP  |  ‘목표 길이(초)’를 먼저 정한 뒤 첫 편집본은 목표보다 10~20초 짧게 만들면, 검토 과정에서 꼭 필요한 설명을 추가할 여유가 생깁니다.</x:v>
      </x:c>
      <x:c r="B19" s="42" t="str">
        <x:v>TIP  |  ‘목표 길이(초)’를 먼저 정한 뒤 첫 편집본은 목표보다 10~20초 짧게 만들면, 검토 과정에서 꼭 필요한 설명을 추가할 여유가 생깁니다.</x:v>
      </x:c>
      <x:c r="C19" s="42" t="str">
        <x:v>TIP  |  ‘목표 길이(초)’를 먼저 정한 뒤 첫 편집본은 목표보다 10~20초 짧게 만들면, 검토 과정에서 꼭 필요한 설명을 추가할 여유가 생깁니다.</x:v>
      </x:c>
      <x:c r="D19" s="42" t="str">
        <x:v>TIP  |  ‘목표 길이(초)’를 먼저 정한 뒤 첫 편집본은 목표보다 10~20초 짧게 만들면, 검토 과정에서 꼭 필요한 설명을 추가할 여유가 생깁니다.</x:v>
      </x:c>
      <x:c r="E19" s="42" t="str">
        <x:v>TIP  |  ‘목표 길이(초)’를 먼저 정한 뒤 첫 편집본은 목표보다 10~20초 짧게 만들면, 검토 과정에서 꼭 필요한 설명을 추가할 여유가 생깁니다.</x:v>
      </x:c>
      <x:c r="F19" s="42" t="str">
        <x:v>TIP  |  ‘목표 길이(초)’를 먼저 정한 뒤 첫 편집본은 목표보다 10~20초 짧게 만들면, 검토 과정에서 꼭 필요한 설명을 추가할 여유가 생깁니다.</x:v>
      </x:c>
      <x:c r="G19" s="42" t="str">
        <x:v>TIP  |  ‘목표 길이(초)’를 먼저 정한 뒤 첫 편집본은 목표보다 10~20초 짧게 만들면, 검토 과정에서 꼭 필요한 설명을 추가할 여유가 생깁니다.</x:v>
      </x:c>
      <x:c r="H19" s="42" t="str">
        <x:v>TIP  |  ‘목표 길이(초)’를 먼저 정한 뒤 첫 편집본은 목표보다 10~20초 짧게 만들면, 검토 과정에서 꼭 필요한 설명을 추가할 여유가 생깁니다.</x:v>
      </x:c>
    </x:row>
    <x:row r="20">
      <x:c r="A20" s="42" t="str">
        <x:v>TIP  |  ‘목표 길이(초)’를 먼저 정한 뒤 첫 편집본은 목표보다 10~20초 짧게 만들면, 검토 과정에서 꼭 필요한 설명을 추가할 여유가 생깁니다.</x:v>
      </x:c>
      <x:c r="B20" s="42" t="str">
        <x:v>TIP  |  ‘목표 길이(초)’를 먼저 정한 뒤 첫 편집본은 목표보다 10~20초 짧게 만들면, 검토 과정에서 꼭 필요한 설명을 추가할 여유가 생깁니다.</x:v>
      </x:c>
      <x:c r="C20" s="42" t="str">
        <x:v>TIP  |  ‘목표 길이(초)’를 먼저 정한 뒤 첫 편집본은 목표보다 10~20초 짧게 만들면, 검토 과정에서 꼭 필요한 설명을 추가할 여유가 생깁니다.</x:v>
      </x:c>
      <x:c r="D20" s="42" t="str">
        <x:v>TIP  |  ‘목표 길이(초)’를 먼저 정한 뒤 첫 편집본은 목표보다 10~20초 짧게 만들면, 검토 과정에서 꼭 필요한 설명을 추가할 여유가 생깁니다.</x:v>
      </x:c>
      <x:c r="E20" s="42" t="str">
        <x:v>TIP  |  ‘목표 길이(초)’를 먼저 정한 뒤 첫 편집본은 목표보다 10~20초 짧게 만들면, 검토 과정에서 꼭 필요한 설명을 추가할 여유가 생깁니다.</x:v>
      </x:c>
      <x:c r="F20" s="42" t="str">
        <x:v>TIP  |  ‘목표 길이(초)’를 먼저 정한 뒤 첫 편집본은 목표보다 10~20초 짧게 만들면, 검토 과정에서 꼭 필요한 설명을 추가할 여유가 생깁니다.</x:v>
      </x:c>
      <x:c r="G20" s="42" t="str">
        <x:v>TIP  |  ‘목표 길이(초)’를 먼저 정한 뒤 첫 편집본은 목표보다 10~20초 짧게 만들면, 검토 과정에서 꼭 필요한 설명을 추가할 여유가 생깁니다.</x:v>
      </x:c>
      <x:c r="H20" s="42" t="str">
        <x:v>TIP  |  ‘목표 길이(초)’를 먼저 정한 뒤 첫 편집본은 목표보다 10~20초 짧게 만들면, 검토 과정에서 꼭 필요한 설명을 추가할 여유가 생깁니다.</x:v>
      </x:c>
    </x:row>
  </x:sheetData>
  <x:mergeCells>
    <x:mergeCell ref="A1:H1"/>
    <x:mergeCell ref="A2:H2"/>
    <x:mergeCell ref="E4:H4"/>
    <x:mergeCell ref="E5:H5"/>
    <x:mergeCell ref="E6:H6"/>
    <x:mergeCell ref="E7:H7"/>
    <x:mergeCell ref="E8:H8"/>
    <x:mergeCell ref="E9:H9"/>
    <x:mergeCell ref="E10:H10"/>
    <x:mergeCell ref="E12:H12"/>
    <x:mergeCell ref="E13:H13"/>
    <x:mergeCell ref="E14:H14"/>
    <x:mergeCell ref="E15:H15"/>
    <x:mergeCell ref="E16:H16"/>
    <x:mergeCell ref="E17:H17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4" hidden="0" customWidth="1"/>
    <x:col min="4" max="4" width="9" hidden="0" customWidth="1"/>
    <x:col min="5" max="5" width="12" hidden="0" customWidth="1"/>
    <x:col min="6" max="6" width="9" hidden="0" customWidth="1"/>
    <x:col min="7" max="7" width="16" hidden="0" customWidth="1"/>
    <x:col min="8" max="8" width="35" hidden="0" customWidth="1"/>
    <x:col min="9" max="9" width="30" hidden="0" customWidth="1"/>
    <x:col min="10" max="10" width="42" hidden="0" customWidth="1"/>
    <x:col min="11" max="11" width="28" hidden="0" customWidth="1"/>
    <x:col min="12" max="12" width="15" hidden="0" customWidth="1"/>
    <x:col min="13" max="13" width="13" hidden="0" customWidth="1"/>
    <x:col min="14" max="14" width="24" hidden="0" customWidth="1"/>
  </x:cols>
  <x:sheetData>
    <x:row r="1" ht="34" customHeight="1">
      <x:c r="A1" s="4" t="str">
        <x:v>영상 시나리오</x:v>
      </x:c>
      <x:c r="B1" s="4" t="str">
        <x:v>영상 시나리오</x:v>
      </x:c>
      <x:c r="C1" s="4" t="str">
        <x:v>영상 시나리오</x:v>
      </x:c>
      <x:c r="D1" s="4" t="str">
        <x:v>영상 시나리오</x:v>
      </x:c>
      <x:c r="E1" s="4" t="str">
        <x:v>영상 시나리오</x:v>
      </x:c>
      <x:c r="F1" s="4" t="str">
        <x:v>영상 시나리오</x:v>
      </x:c>
      <x:c r="G1" s="4" t="str">
        <x:v>영상 시나리오</x:v>
      </x:c>
      <x:c r="H1" s="4" t="str">
        <x:v>영상 시나리오</x:v>
      </x:c>
      <x:c r="I1" s="4" t="str">
        <x:v>영상 시나리오</x:v>
      </x:c>
      <x:c r="J1" s="4" t="str">
        <x:v>영상 시나리오</x:v>
      </x:c>
      <x:c r="K1" s="4" t="str">
        <x:v>영상 시나리오</x:v>
      </x:c>
      <x:c r="L1" s="4" t="str">
        <x:v>영상 시나리오</x:v>
      </x:c>
      <x:c r="M1" s="4" t="str">
        <x:v>영상 시나리오</x:v>
      </x:c>
      <x:c r="N1" s="4" t="str">
        <x:v>영상 시나리오</x:v>
      </x:c>
    </x:row>
    <x:row r="2" ht="28" customHeight="1">
      <x:c r="A2" s="8" t="str">
        <x:v>‘사용 가이드’의 목표 길이(초)와 파란색 헤더 아래 셀을 수정하세요. 시작·종료 시간과 총 길이는 자동 계산됩니다.</x:v>
      </x:c>
      <x:c r="B2" s="8" t="str">
        <x:v>‘사용 가이드’의 목표 길이(초)와 파란색 헤더 아래 셀을 수정하세요. 시작·종료 시간과 총 길이는 자동 계산됩니다.</x:v>
      </x:c>
      <x:c r="C2" s="8" t="str">
        <x:v>‘사용 가이드’의 목표 길이(초)와 파란색 헤더 아래 셀을 수정하세요. 시작·종료 시간과 총 길이는 자동 계산됩니다.</x:v>
      </x:c>
      <x:c r="D2" s="8" t="str">
        <x:v>‘사용 가이드’의 목표 길이(초)와 파란색 헤더 아래 셀을 수정하세요. 시작·종료 시간과 총 길이는 자동 계산됩니다.</x:v>
      </x:c>
      <x:c r="E2" s="8" t="str">
        <x:v>‘사용 가이드’의 목표 길이(초)와 파란색 헤더 아래 셀을 수정하세요. 시작·종료 시간과 총 길이는 자동 계산됩니다.</x:v>
      </x:c>
      <x:c r="F2" s="8" t="str">
        <x:v>‘사용 가이드’의 목표 길이(초)와 파란색 헤더 아래 셀을 수정하세요. 시작·종료 시간과 총 길이는 자동 계산됩니다.</x:v>
      </x:c>
      <x:c r="G2" s="8" t="str">
        <x:v>‘사용 가이드’의 목표 길이(초)와 파란색 헤더 아래 셀을 수정하세요. 시작·종료 시간과 총 길이는 자동 계산됩니다.</x:v>
      </x:c>
      <x:c r="H2" s="8" t="str">
        <x:v>‘사용 가이드’의 목표 길이(초)와 파란색 헤더 아래 셀을 수정하세요. 시작·종료 시간과 총 길이는 자동 계산됩니다.</x:v>
      </x:c>
      <x:c r="I2" s="8" t="str">
        <x:v>‘사용 가이드’의 목표 길이(초)와 파란색 헤더 아래 셀을 수정하세요. 시작·종료 시간과 총 길이는 자동 계산됩니다.</x:v>
      </x:c>
      <x:c r="J2" s="8" t="str">
        <x:v>‘사용 가이드’의 목표 길이(초)와 파란색 헤더 아래 셀을 수정하세요. 시작·종료 시간과 총 길이는 자동 계산됩니다.</x:v>
      </x:c>
      <x:c r="K2" s="8" t="str">
        <x:v>‘사용 가이드’의 목표 길이(초)와 파란색 헤더 아래 셀을 수정하세요. 시작·종료 시간과 총 길이는 자동 계산됩니다.</x:v>
      </x:c>
      <x:c r="L2" s="8" t="str">
        <x:v>‘사용 가이드’의 목표 길이(초)와 파란색 헤더 아래 셀을 수정하세요. 시작·종료 시간과 총 길이는 자동 계산됩니다.</x:v>
      </x:c>
      <x:c r="M2" s="8" t="str">
        <x:v>‘사용 가이드’의 목표 길이(초)와 파란색 헤더 아래 셀을 수정하세요. 시작·종료 시간과 총 길이는 자동 계산됩니다.</x:v>
      </x:c>
      <x:c r="N2" s="8" t="str">
        <x:v>‘사용 가이드’의 목표 길이(초)와 파란색 헤더 아래 셀을 수정하세요. 시작·종료 시간과 총 길이는 자동 계산됩니다.</x:v>
      </x:c>
    </x:row>
    <x:row r="3">
      <x:c r="A3" s="40" t="str">
        <x:v>총 예상 길이</x:v>
      </x:c>
      <x:c r="B3" s="46" t="n">
        <x:f>SUM(E9:E28)/86400</x:f>
        <x:v>0.003125</x:v>
      </x:c>
      <x:c r="D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E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F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G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H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I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J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K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L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M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N3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</x:row>
    <x:row r="4">
      <x:c r="A4" s="40" t="str">
        <x:v>목표까지 남은 시간</x:v>
      </x:c>
      <x:c r="B4" s="46" t="n">
        <x:f>('사용 가이드'!B5-SUM(E9:E28))/86400</x:f>
        <x:v>0.00034722222222222224</x:v>
      </x:c>
      <x:c r="D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E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F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G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H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I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J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K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L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M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N4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</x:row>
    <x:row r="5">
      <x:c r="A5" s="40" t="str">
        <x:v>장면 수</x:v>
      </x:c>
      <x:c r="B5" s="47" t="n">
        <x:f>COUNTIF(E9:E28,"&gt;0")</x:f>
        <x:v>10</x:v>
      </x:c>
      <x:c r="D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E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F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G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H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I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J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K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L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M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N5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</x:row>
    <x:row r="6">
      <x:c r="A6" s="40" t="str">
        <x:v>권장 상태</x:v>
      </x:c>
      <x:c r="B6" s="45" t="str">
        <x:f>IF(SUM(E9:E28)&lt;='사용 가이드'!B5,"목표 시간 이내","시간 초과")</x:f>
        <x:v>목표 시간 이내</x:v>
      </x:c>
      <x:c r="D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E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F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G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H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I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J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K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L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M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  <x:c r="N6" s="50" t="str">
        <x:v>추천 흐름: 문제/가치 제시 → 프로젝트 소개 → 사용자 흐름과 실제 데모 → 기술 흐름 → 개발 워크플로 → 어려움과 해결 → 느낀점 → 마무리
사용자 흐름과 기술 흐름은 같은 기능을 기준으로 연결하면 이해가 빠릅니다. 예: “사용자가 버튼을 누름” → “프론트 요청” → “백엔드 처리” → “AI/API 결과” → “화면 반영”</x:v>
      </x:c>
    </x:row>
    <x:row r="8" ht="30" customHeight="1">
      <x:c r="A8" s="61" t="str">
        <x:v>#</x:v>
      </x:c>
      <x:c r="B8" s="62" t="str">
        <x:v>구간</x:v>
      </x:c>
      <x:c r="C8" s="62" t="str">
        <x:v>이 장면의 목적</x:v>
      </x:c>
      <x:c r="D8" s="62" t="str">
        <x:v>시작</x:v>
      </x:c>
      <x:c r="E8" s="62" t="str">
        <x:v>재생시간(초)</x:v>
      </x:c>
      <x:c r="F8" s="62" t="str">
        <x:v>종료</x:v>
      </x:c>
      <x:c r="G8" s="62" t="str">
        <x:v>화면 소스</x:v>
      </x:c>
      <x:c r="H8" s="62" t="str">
        <x:v>촬영/화면 내용</x:v>
      </x:c>
      <x:c r="I8" s="62" t="str">
        <x:v>Figma 설명 요소</x:v>
      </x:c>
      <x:c r="J8" s="62" t="str">
        <x:v>최종 자막·내레이션</x:v>
      </x:c>
      <x:c r="K8" s="62" t="str">
        <x:v>CapCut 편집 지시</x:v>
      </x:c>
      <x:c r="L8" s="62" t="str">
        <x:v>음향</x:v>
      </x:c>
      <x:c r="M8" s="62" t="str">
        <x:v>상태</x:v>
      </x:c>
      <x:c r="N8" s="63" t="str">
        <x:v>검토 메모</x:v>
      </x:c>
    </x:row>
    <x:row r="9" ht="74" customHeight="1">
      <x:c r="A9" s="80" t="n">
        <x:v>1</x:v>
      </x:c>
      <x:c r="B9" s="25" t="str">
        <x:v>도입</x:v>
      </x:c>
      <x:c r="C9" s="25" t="str">
        <x:v>첫 10초 안에 문제와 결과를 궁금하게 만든다</x:v>
      </x:c>
      <x:c r="D9" s="82" t="n">
        <x:f>0</x:f>
        <x:v>0</x:v>
      </x:c>
      <x:c r="E9" s="83" t="n">
        <x:v>10</x:v>
      </x:c>
      <x:c r="F9" s="82" t="n">
        <x:f>IF(E9="","",D9+E9/86400)</x:f>
        <x:v>0.00011574074074074075</x:v>
      </x:c>
      <x:c r="G9" s="80" t="str">
        <x:v>혼합</x:v>
      </x:c>
      <x:c r="H9" s="25" t="str">
        <x:v>완성된 웹사이트의 가장 인상적인 결과 화면을 2~3컷 빠르게 제시</x:v>
      </x:c>
      <x:c r="I9" s="25" t="str">
        <x:v>프로젝트 이름 + 한 줄 가치 제안</x:v>
      </x:c>
      <x:c r="J9" s="25" t="str">
        <x:v>[프로젝트명]은 [대상 사용자]가 [핵심 문제]를 더 쉽게 해결하도록 만든 서비스입니다.</x:v>
      </x:c>
      <x:c r="K9" s="25" t="str">
        <x:v>0.3~0.5초 페이드인, 핵심 화면 2~3개 빠른 컷</x:v>
      </x:c>
      <x:c r="L9" s="80" t="str">
        <x:v>짧은 시작 효과음</x:v>
      </x:c>
      <x:c r="M9" s="80" t="str">
        <x:v>작성 중</x:v>
      </x:c>
      <x:c r="N9" s="25" t="str"/>
    </x:row>
    <x:row r="10" ht="74" customHeight="1">
      <x:c r="A10" s="81" t="n">
        <x:v>2</x:v>
      </x:c>
      <x:c r="B10" s="26" t="str">
        <x:v>프로젝트 소개</x:v>
      </x:c>
      <x:c r="C10" s="26" t="str">
        <x:v>문제와 제작 배경을 설명한다</x:v>
      </x:c>
      <x:c r="D10" s="84" t="n">
        <x:f>F9</x:f>
        <x:v>0.00011574074074074075</x:v>
      </x:c>
      <x:c r="E10" s="85" t="n">
        <x:v>25</x:v>
      </x:c>
      <x:c r="F10" s="84" t="n">
        <x:f>IF(E10="","",D10+E10/86400)</x:f>
        <x:v>0.0004050925925925926</x:v>
      </x:c>
      <x:c r="G10" s="81" t="str">
        <x:v>Figma 설명 화면</x:v>
      </x:c>
      <x:c r="H10" s="26" t="str">
        <x:v>기존 방식의 불편 → 해결하고 싶은 상황을 간단한 전후 비교로 제시</x:v>
      </x:c>
      <x:c r="I10" s="26" t="str">
        <x:v>문제 상황 Before/After 카드</x:v>
      </x:c>
      <x:c r="J10" s="26" t="str">
        <x:v>[기존 방식의 문제] 때문에 [사용자 불편]이 반복됐고, 이를 [해결 방식]으로 바꾸고자 했습니다.</x:v>
      </x:c>
      <x:c r="K10" s="26" t="str">
        <x:v>핵심 단어만 확대, 문장 전체를 한 번에 띄우지 않기</x:v>
      </x:c>
      <x:c r="L10" s="81" t="str">
        <x:v>잔잔한 BGM</x:v>
      </x:c>
      <x:c r="M10" s="81" t="str">
        <x:v>작성 중</x:v>
      </x:c>
      <x:c r="N10" s="26" t="str"/>
    </x:row>
    <x:row r="11" ht="74" customHeight="1">
      <x:c r="A11" s="81" t="n">
        <x:v>3</x:v>
      </x:c>
      <x:c r="B11" s="26" t="str">
        <x:v>프로젝트 소개</x:v>
      </x:c>
      <x:c r="C11" s="26" t="str">
        <x:v>프로젝트의 핵심 가치와 기능 범위를 정의한다</x:v>
      </x:c>
      <x:c r="D11" s="84" t="n">
        <x:f>F10</x:f>
        <x:v>0.0004050925925925926</x:v>
      </x:c>
      <x:c r="E11" s="85" t="n">
        <x:v>25</x:v>
      </x:c>
      <x:c r="F11" s="84" t="n">
        <x:f>IF(E11="","",D11+E11/86400)</x:f>
        <x:v>0.0006944444444444444</x:v>
      </x:c>
      <x:c r="G11" s="81" t="str">
        <x:v>혼합</x:v>
      </x:c>
      <x:c r="H11" s="26" t="str">
        <x:v>홈 화면 또는 핵심 대시보드 위에 기능 3가지를 순서대로 강조</x:v>
      </x:c>
      <x:c r="I11" s="26" t="str">
        <x:v>핵심 기능 3개 콜아웃</x:v>
      </x:c>
      <x:c r="J11" s="26" t="str">
        <x:v>핵심 기능은 [기능1], [기능2], [기능3]이며, 전체 경험은 [핵심 가치]에 집중했습니다.</x:v>
      </x:c>
      <x:c r="K11" s="26" t="str">
        <x:v>기능별 줌 또는 하이라이트</x:v>
      </x:c>
      <x:c r="L11" s="81" t="str">
        <x:v>BGM 유지</x:v>
      </x:c>
      <x:c r="M11" s="81" t="str">
        <x:v>작성 중</x:v>
      </x:c>
      <x:c r="N11" s="26" t="str"/>
    </x:row>
    <x:row r="12" ht="74" customHeight="1">
      <x:c r="A12" s="81" t="n">
        <x:v>4</x:v>
      </x:c>
      <x:c r="B12" s="26" t="str">
        <x:v>사용자 흐름</x:v>
      </x:c>
      <x:c r="C12" s="26" t="str">
        <x:v>대표 사용자가 목표를 달성하는 과정을 보여준다</x:v>
      </x:c>
      <x:c r="D12" s="84" t="n">
        <x:f>F11</x:f>
        <x:v>0.0006944444444444444</x:v>
      </x:c>
      <x:c r="E12" s="85" t="n">
        <x:v>45</x:v>
      </x:c>
      <x:c r="F12" s="84" t="n">
        <x:f>IF(E12="","",D12+E12/86400)</x:f>
        <x:v>0.0012152777777777778</x:v>
      </x:c>
      <x:c r="G12" s="81" t="str">
        <x:v>웹사이트 녹화</x:v>
      </x:c>
      <x:c r="H12" s="26" t="str">
        <x:v>실제 사용 순서대로 클릭·입력·결과 확인. 커서는 천천히 이동</x:v>
      </x:c>
      <x:c r="I12" s="26" t="str">
        <x:v>진행 단계 1→2→3 인디케이터</x:v>
      </x:c>
      <x:c r="J12" s="26" t="str">
        <x:v>사용자는 먼저 [행동1]을 하고, 이어서 [행동2]를 거쳐 [최종 결과]를 확인합니다.</x:v>
      </x:c>
      <x:c r="K12" s="26" t="str">
        <x:v>클릭 전 0.5초 정지, 중요한 입력은 확대</x:v>
      </x:c>
      <x:c r="L12" s="81" t="str">
        <x:v>클릭음 최소 사용</x:v>
      </x:c>
      <x:c r="M12" s="81" t="str">
        <x:v>작성 중</x:v>
      </x:c>
      <x:c r="N12" s="26" t="str"/>
    </x:row>
    <x:row r="13" ht="74" customHeight="1">
      <x:c r="A13" s="81" t="n">
        <x:v>5</x:v>
      </x:c>
      <x:c r="B13" s="26" t="str">
        <x:v>데모</x:v>
      </x:c>
      <x:c r="C13" s="26" t="str">
        <x:v>가장 차별화된 기능이 실제로 동작함을 증명한다</x:v>
      </x:c>
      <x:c r="D13" s="84" t="n">
        <x:f>F12</x:f>
        <x:v>0.0012152777777777778</x:v>
      </x:c>
      <x:c r="E13" s="85" t="n">
        <x:v>45</x:v>
      </x:c>
      <x:c r="F13" s="84" t="n">
        <x:f>IF(E13="","",D13+E13/86400)</x:f>
        <x:v>0.001736111111111111</x:v>
      </x:c>
      <x:c r="G13" s="81" t="str">
        <x:v>웹사이트 녹화</x:v>
      </x:c>
      <x:c r="H13" s="26" t="str">
        <x:v>핵심 기능의 입력부터 결과까지 끊김 없이 녹화</x:v>
      </x:c>
      <x:c r="I13" s="26" t="str">
        <x:v>핵심 결과 강조 박스/화살표</x:v>
      </x:c>
      <x:c r="J13" s="26" t="str">
        <x:v>특히 [차별 기능]은 [입력]을 바탕으로 [결과]를 만들어 사용자가 [효과]를 얻도록 합니다.</x:v>
      </x:c>
      <x:c r="K13" s="26" t="str">
        <x:v>대기 시간은 점프컷, 결과 직전 0.3초 텐션</x:v>
      </x:c>
      <x:c r="L13" s="81" t="str">
        <x:v>BGM 약하게</x:v>
      </x:c>
      <x:c r="M13" s="81" t="str">
        <x:v>작성 중</x:v>
      </x:c>
      <x:c r="N13" s="26" t="str"/>
    </x:row>
    <x:row r="14" ht="74" customHeight="1">
      <x:c r="A14" s="81" t="n">
        <x:v>6</x:v>
      </x:c>
      <x:c r="B14" s="26" t="str">
        <x:v>기술 흐름</x:v>
      </x:c>
      <x:c r="C14" s="26" t="str">
        <x:v>방금 본 사용자 행동이 내부에서 처리되는 방식을 연결한다</x:v>
      </x:c>
      <x:c r="D14" s="84" t="n">
        <x:f>F13</x:f>
        <x:v>0.001736111111111111</x:v>
      </x:c>
      <x:c r="E14" s="85" t="n">
        <x:v>40</x:v>
      </x:c>
      <x:c r="F14" s="84" t="n">
        <x:f>IF(E14="","",D14+E14/86400)</x:f>
        <x:v>0.0021990740740740738</x:v>
      </x:c>
      <x:c r="G14" s="81" t="str">
        <x:v>Figma 설명 화면</x:v>
      </x:c>
      <x:c r="H14" s="26" t="str">
        <x:v>사용자 → 프론트엔드 → 백엔드 → DB/AI/API → 화면 반환 흐름</x:v>
      </x:c>
      <x:c r="I14" s="26" t="str">
        <x:v>기술 흐름 다이어그램 + 단계별 강조</x:v>
      </x:c>
      <x:c r="J14" s="26" t="str">
        <x:v>화면에서 [행동]이 발생하면 프론트엔드가 [요청]을 보내고, 백엔드는 [처리] 후 [결과]를 다시 전달합니다.</x:v>
      </x:c>
      <x:c r="K14" s="26" t="str">
        <x:v>한 번에 전체를 보인 뒤 단계별 선 강조</x:v>
      </x:c>
      <x:c r="L14" s="81" t="str">
        <x:v>효과음 없이 설명 집중</x:v>
      </x:c>
      <x:c r="M14" s="81" t="str">
        <x:v>작성 중</x:v>
      </x:c>
      <x:c r="N14" s="26" t="str"/>
    </x:row>
    <x:row r="15" ht="74" customHeight="1">
      <x:c r="A15" s="81" t="n">
        <x:v>7</x:v>
      </x:c>
      <x:c r="B15" s="26" t="str">
        <x:v>개발 워크플로</x:v>
      </x:c>
      <x:c r="C15" s="26" t="str">
        <x:v>아이디어가 구현과 검증으로 이어진 과정을 보여준다</x:v>
      </x:c>
      <x:c r="D15" s="84" t="n">
        <x:f>F14</x:f>
        <x:v>0.0021990740740740738</x:v>
      </x:c>
      <x:c r="E15" s="85" t="n">
        <x:v>35</x:v>
      </x:c>
      <x:c r="F15" s="84" t="n">
        <x:f>IF(E15="","",D15+E15/86400)</x:f>
        <x:v>0.0026041666666666665</x:v>
      </x:c>
      <x:c r="G15" s="81" t="str">
        <x:v>Figma 설명 화면</x:v>
      </x:c>
      <x:c r="H15" s="26" t="str">
        <x:v>기획 → 디자인 → 구현 → 테스트 → 개선 루프. 실제 산출물 캡처를 함께 배치</x:v>
      </x:c>
      <x:c r="I15" s="26" t="str">
        <x:v>개발 반복 루프/타임라인</x:v>
      </x:c>
      <x:c r="J15" s="26" t="str">
        <x:v>개발은 [기획 방식]으로 시작해 [구현 방식]으로 진행했고, 테스트 결과를 반영해 [개선점]을 반복 수정했습니다.</x:v>
      </x:c>
      <x:c r="K15" s="26" t="str">
        <x:v>타임라인을 좌→우로 전개</x:v>
      </x:c>
      <x:c r="L15" s="81" t="str">
        <x:v>BGM 전환 가능</x:v>
      </x:c>
      <x:c r="M15" s="81" t="str">
        <x:v>작성 중</x:v>
      </x:c>
      <x:c r="N15" s="26" t="str"/>
    </x:row>
    <x:row r="16" ht="74" customHeight="1">
      <x:c r="A16" s="81" t="n">
        <x:v>8</x:v>
      </x:c>
      <x:c r="B16" s="26" t="str">
        <x:v>개발 워크플로</x:v>
      </x:c>
      <x:c r="C16" s="26" t="str">
        <x:v>어려움과 해결 방식으로 기술적 판단을 드러낸다</x:v>
      </x:c>
      <x:c r="D16" s="84" t="n">
        <x:f>F15</x:f>
        <x:v>0.0026041666666666665</x:v>
      </x:c>
      <x:c r="E16" s="85" t="n">
        <x:v>20</x:v>
      </x:c>
      <x:c r="F16" s="84" t="n">
        <x:f>IF(E16="","",D16+E16/86400)</x:f>
        <x:v>0.002835648148148148</x:v>
      </x:c>
      <x:c r="G16" s="81" t="str">
        <x:v>혼합</x:v>
      </x:c>
      <x:c r="H16" s="26" t="str">
        <x:v>문제 장면 또는 오류 → 원인 → 해결 결과를 3단 구성으로 제시</x:v>
      </x:c>
      <x:c r="I16" s="26" t="str">
        <x:v>문제/원인/해결 3단 카드</x:v>
      </x:c>
      <x:c r="J16" s="26" t="str">
        <x:v>가장 어려웠던 점은 [문제]였고, [원인]을 확인한 뒤 [해결]하여 [개선 결과]를 얻었습니다.</x:v>
      </x:c>
      <x:c r="K16" s="26" t="str">
        <x:v>오류 화면은 짧게, 해결 결과를 더 오래 노출</x:v>
      </x:c>
      <x:c r="L16" s="81" t="str">
        <x:v>전환 효과음</x:v>
      </x:c>
      <x:c r="M16" s="81" t="str">
        <x:v>작성 중</x:v>
      </x:c>
      <x:c r="N16" s="26" t="str"/>
    </x:row>
    <x:row r="17" ht="74" customHeight="1">
      <x:c r="A17" s="81" t="n">
        <x:v>9</x:v>
      </x:c>
      <x:c r="B17" s="26" t="str">
        <x:v>느낀점</x:v>
      </x:c>
      <x:c r="C17" s="26" t="str">
        <x:v>챌린지 과정에서 얻은 배움과 다음 방향을 전한다</x:v>
      </x:c>
      <x:c r="D17" s="84" t="n">
        <x:f>F16</x:f>
        <x:v>0.002835648148148148</x:v>
      </x:c>
      <x:c r="E17" s="85" t="n">
        <x:v>20</x:v>
      </x:c>
      <x:c r="F17" s="84" t="n">
        <x:f>IF(E17="","",D17+E17/86400)</x:f>
        <x:v>0.0030671296296296293</x:v>
      </x:c>
      <x:c r="G17" s="81" t="str">
        <x:v>Figma 설명 화면</x:v>
      </x:c>
      <x:c r="H17" s="26" t="str">
        <x:v>배운 점 2개와 다음 개선 1개를 간결하게 제시</x:v>
      </x:c>
      <x:c r="I17" s="26" t="str">
        <x:v>Learned / Next 카드</x:v>
      </x:c>
      <x:c r="J17" s="26" t="str">
        <x:v>이번 과정에서 [배운 점1]과 [배운 점2]를 체감했고, 다음에는 [개선 방향]까지 확장하고 싶습니다.</x:v>
      </x:c>
      <x:c r="K17" s="26" t="str">
        <x:v>키워드 순차 등장</x:v>
      </x:c>
      <x:c r="L17" s="81" t="str">
        <x:v>BGM 서서히 상승</x:v>
      </x:c>
      <x:c r="M17" s="81" t="str">
        <x:v>작성 중</x:v>
      </x:c>
      <x:c r="N17" s="26" t="str"/>
    </x:row>
    <x:row r="18" ht="74" customHeight="1">
      <x:c r="A18" s="81" t="n">
        <x:v>10</x:v>
      </x:c>
      <x:c r="B18" s="26" t="str">
        <x:v>마무리</x:v>
      </x:c>
      <x:c r="C18" s="26" t="str">
        <x:v>프로젝트의 한 줄 가치를 다시 남긴다</x:v>
      </x:c>
      <x:c r="D18" s="84" t="n">
        <x:f>F17</x:f>
        <x:v>0.0030671296296296293</x:v>
      </x:c>
      <x:c r="E18" s="85" t="n">
        <x:v>5</x:v>
      </x:c>
      <x:c r="F18" s="84" t="n">
        <x:f>IF(E18="","",D18+E18/86400)</x:f>
        <x:v>0.0031249999999999997</x:v>
      </x:c>
      <x:c r="G18" s="81" t="str">
        <x:v>타이틀 카드</x:v>
      </x:c>
      <x:c r="H18" s="26" t="str">
        <x:v>프로젝트 이름, 한 줄 가치, 감사 문구</x:v>
      </x:c>
      <x:c r="I18" s="26" t="str">
        <x:v>엔딩 카드</x:v>
      </x:c>
      <x:c r="J18" s="26" t="str">
        <x:v>[프로젝트명]을 통해 [사용자 가치]를 구현했습니다. 감사합니다.</x:v>
      </x:c>
      <x:c r="K18" s="26" t="str">
        <x:v>1초 유지 후 페이드아웃</x:v>
      </x:c>
      <x:c r="L18" s="81" t="str">
        <x:v>BGM 페이드아웃</x:v>
      </x:c>
      <x:c r="M18" s="81" t="str">
        <x:v>작성 중</x:v>
      </x:c>
      <x:c r="N18" s="26" t="str"/>
    </x:row>
    <x:row r="19" ht="74" customHeight="1">
      <x:c r="A19" s="81" t="n">
        <x:v>11</x:v>
      </x:c>
      <x:c r="B19" s="26" t="str"/>
      <x:c r="C19" s="26" t="str"/>
      <x:c r="D19" s="84" t="n">
        <x:f>F18</x:f>
        <x:v>0.0031249999999999997</x:v>
      </x:c>
      <x:c r="E19" s="85"/>
      <x:c r="F19" s="84" t="str">
        <x:f>IF(E19="","",D19+E19/86400)</x:f>
      </x:c>
      <x:c r="G19" s="81" t="str"/>
      <x:c r="H19" s="26" t="str"/>
      <x:c r="I19" s="26" t="str"/>
      <x:c r="J19" s="26" t="str"/>
      <x:c r="K19" s="26" t="str"/>
      <x:c r="L19" s="81" t="str"/>
      <x:c r="M19" s="81" t="str">
        <x:v>초안 전</x:v>
      </x:c>
      <x:c r="N19" s="26" t="str"/>
    </x:row>
    <x:row r="20" ht="74" customHeight="1">
      <x:c r="A20" s="81" t="n">
        <x:v>12</x:v>
      </x:c>
      <x:c r="B20" s="26" t="str"/>
      <x:c r="C20" s="26" t="str"/>
      <x:c r="D20" s="84" t="n">
        <x:f>F19</x:f>
        <x:v>0</x:v>
      </x:c>
      <x:c r="E20" s="85"/>
      <x:c r="F20" s="84" t="str">
        <x:f>IF(E20="","",D20+E20/86400)</x:f>
      </x:c>
      <x:c r="G20" s="81" t="str"/>
      <x:c r="H20" s="26" t="str"/>
      <x:c r="I20" s="26" t="str"/>
      <x:c r="J20" s="26" t="str"/>
      <x:c r="K20" s="26" t="str"/>
      <x:c r="L20" s="81" t="str"/>
      <x:c r="M20" s="81" t="str">
        <x:v>초안 전</x:v>
      </x:c>
      <x:c r="N20" s="26" t="str"/>
    </x:row>
    <x:row r="21" ht="74" customHeight="1">
      <x:c r="A21" s="81" t="n">
        <x:v>13</x:v>
      </x:c>
      <x:c r="B21" s="26" t="str"/>
      <x:c r="C21" s="26" t="str"/>
      <x:c r="D21" s="84" t="n">
        <x:f>F20</x:f>
        <x:v>0</x:v>
      </x:c>
      <x:c r="E21" s="85"/>
      <x:c r="F21" s="84" t="str">
        <x:f>IF(E21="","",D21+E21/86400)</x:f>
      </x:c>
      <x:c r="G21" s="81" t="str"/>
      <x:c r="H21" s="26" t="str"/>
      <x:c r="I21" s="26" t="str"/>
      <x:c r="J21" s="26" t="str"/>
      <x:c r="K21" s="26" t="str"/>
      <x:c r="L21" s="81" t="str"/>
      <x:c r="M21" s="81" t="str">
        <x:v>초안 전</x:v>
      </x:c>
      <x:c r="N21" s="26" t="str"/>
    </x:row>
    <x:row r="22" ht="74" customHeight="1">
      <x:c r="A22" s="81" t="n">
        <x:v>14</x:v>
      </x:c>
      <x:c r="B22" s="26" t="str"/>
      <x:c r="C22" s="26" t="str"/>
      <x:c r="D22" s="84" t="n">
        <x:f>F21</x:f>
        <x:v>0</x:v>
      </x:c>
      <x:c r="E22" s="85"/>
      <x:c r="F22" s="84" t="str">
        <x:f>IF(E22="","",D22+E22/86400)</x:f>
      </x:c>
      <x:c r="G22" s="81" t="str"/>
      <x:c r="H22" s="26" t="str"/>
      <x:c r="I22" s="26" t="str"/>
      <x:c r="J22" s="26" t="str"/>
      <x:c r="K22" s="26" t="str"/>
      <x:c r="L22" s="81" t="str"/>
      <x:c r="M22" s="81" t="str">
        <x:v>초안 전</x:v>
      </x:c>
      <x:c r="N22" s="26" t="str"/>
    </x:row>
    <x:row r="23" ht="74" customHeight="1">
      <x:c r="A23" s="81" t="n">
        <x:v>15</x:v>
      </x:c>
      <x:c r="B23" s="26" t="str"/>
      <x:c r="C23" s="26" t="str"/>
      <x:c r="D23" s="84" t="n">
        <x:f>F22</x:f>
        <x:v>0</x:v>
      </x:c>
      <x:c r="E23" s="85"/>
      <x:c r="F23" s="84" t="str">
        <x:f>IF(E23="","",D23+E23/86400)</x:f>
      </x:c>
      <x:c r="G23" s="81" t="str"/>
      <x:c r="H23" s="26" t="str"/>
      <x:c r="I23" s="26" t="str"/>
      <x:c r="J23" s="26" t="str"/>
      <x:c r="K23" s="26" t="str"/>
      <x:c r="L23" s="81" t="str"/>
      <x:c r="M23" s="81" t="str">
        <x:v>초안 전</x:v>
      </x:c>
      <x:c r="N23" s="26" t="str"/>
    </x:row>
    <x:row r="24" ht="74" customHeight="1">
      <x:c r="A24" s="81" t="n">
        <x:v>16</x:v>
      </x:c>
      <x:c r="B24" s="26" t="str"/>
      <x:c r="C24" s="26" t="str"/>
      <x:c r="D24" s="84" t="n">
        <x:f>F23</x:f>
        <x:v>0</x:v>
      </x:c>
      <x:c r="E24" s="85"/>
      <x:c r="F24" s="84" t="str">
        <x:f>IF(E24="","",D24+E24/86400)</x:f>
      </x:c>
      <x:c r="G24" s="81" t="str"/>
      <x:c r="H24" s="26" t="str"/>
      <x:c r="I24" s="26" t="str"/>
      <x:c r="J24" s="26" t="str"/>
      <x:c r="K24" s="26" t="str"/>
      <x:c r="L24" s="81" t="str"/>
      <x:c r="M24" s="81" t="str">
        <x:v>초안 전</x:v>
      </x:c>
      <x:c r="N24" s="26" t="str"/>
    </x:row>
    <x:row r="25" ht="74" customHeight="1">
      <x:c r="A25" s="81" t="n">
        <x:v>17</x:v>
      </x:c>
      <x:c r="B25" s="26" t="str"/>
      <x:c r="C25" s="26" t="str"/>
      <x:c r="D25" s="84" t="n">
        <x:f>F24</x:f>
        <x:v>0</x:v>
      </x:c>
      <x:c r="E25" s="85"/>
      <x:c r="F25" s="84" t="str">
        <x:f>IF(E25="","",D25+E25/86400)</x:f>
      </x:c>
      <x:c r="G25" s="81" t="str"/>
      <x:c r="H25" s="26" t="str"/>
      <x:c r="I25" s="26" t="str"/>
      <x:c r="J25" s="26" t="str"/>
      <x:c r="K25" s="26" t="str"/>
      <x:c r="L25" s="81" t="str"/>
      <x:c r="M25" s="81" t="str">
        <x:v>초안 전</x:v>
      </x:c>
      <x:c r="N25" s="26" t="str"/>
    </x:row>
    <x:row r="26" ht="74" customHeight="1">
      <x:c r="A26" s="81" t="n">
        <x:v>18</x:v>
      </x:c>
      <x:c r="B26" s="26" t="str"/>
      <x:c r="C26" s="26" t="str"/>
      <x:c r="D26" s="84" t="n">
        <x:f>F25</x:f>
        <x:v>0</x:v>
      </x:c>
      <x:c r="E26" s="85"/>
      <x:c r="F26" s="84" t="str">
        <x:f>IF(E26="","",D26+E26/86400)</x:f>
      </x:c>
      <x:c r="G26" s="81" t="str"/>
      <x:c r="H26" s="26" t="str"/>
      <x:c r="I26" s="26" t="str"/>
      <x:c r="J26" s="26" t="str"/>
      <x:c r="K26" s="26" t="str"/>
      <x:c r="L26" s="81" t="str"/>
      <x:c r="M26" s="81" t="str">
        <x:v>초안 전</x:v>
      </x:c>
      <x:c r="N26" s="26" t="str"/>
    </x:row>
    <x:row r="27" ht="74" customHeight="1">
      <x:c r="A27" s="81" t="n">
        <x:v>19</x:v>
      </x:c>
      <x:c r="B27" s="26" t="str"/>
      <x:c r="C27" s="26" t="str"/>
      <x:c r="D27" s="84" t="n">
        <x:f>F26</x:f>
        <x:v>0</x:v>
      </x:c>
      <x:c r="E27" s="85"/>
      <x:c r="F27" s="84" t="str">
        <x:f>IF(E27="","",D27+E27/86400)</x:f>
      </x:c>
      <x:c r="G27" s="81" t="str"/>
      <x:c r="H27" s="26" t="str"/>
      <x:c r="I27" s="26" t="str"/>
      <x:c r="J27" s="26" t="str"/>
      <x:c r="K27" s="26" t="str"/>
      <x:c r="L27" s="81" t="str"/>
      <x:c r="M27" s="81" t="str">
        <x:v>초안 전</x:v>
      </x:c>
      <x:c r="N27" s="26" t="str"/>
    </x:row>
    <x:row r="28" ht="74" customHeight="1">
      <x:c r="A28" s="81" t="n">
        <x:v>20</x:v>
      </x:c>
      <x:c r="B28" s="26" t="str"/>
      <x:c r="C28" s="26" t="str"/>
      <x:c r="D28" s="84" t="n">
        <x:f>F27</x:f>
        <x:v>0</x:v>
      </x:c>
      <x:c r="E28" s="85"/>
      <x:c r="F28" s="84" t="str">
        <x:f>IF(E28="","",D28+E28/86400)</x:f>
      </x:c>
      <x:c r="G28" s="81" t="str"/>
      <x:c r="H28" s="26" t="str"/>
      <x:c r="I28" s="26" t="str"/>
      <x:c r="J28" s="26" t="str"/>
      <x:c r="K28" s="26" t="str"/>
      <x:c r="L28" s="81" t="str"/>
      <x:c r="M28" s="81" t="str">
        <x:v>초안 전</x:v>
      </x:c>
      <x:c r="N28" s="26" t="str"/>
    </x:row>
  </x:sheetData>
  <x:mergeCells>
    <x:mergeCell ref="A1:N1"/>
    <x:mergeCell ref="A2:N2"/>
    <x:mergeCell ref="D3:N6"/>
  </x:mergeCells>
  <x:conditionalFormatting sqref="B4:B4">
    <x:cfRule type="cellIs" dxfId="0" priority="1" operator="lessThan">
      <x:formula>0</x:formula>
    </x:cfRule>
  </x:conditionalFormatting>
  <x:conditionalFormatting sqref="B6:B6">
    <x:cfRule type="containsText" dxfId="1" priority="2" operator="containsText" text="시간 초과"/>
  </x:conditionalFormatting>
  <x:dataValidations count="4">
    <x:dataValidation type="list" sqref="B9:B28">
      <x:formula1>"도입,프로젝트 소개,사용자 흐름,기술 흐름,데모,개발 워크플로,느낀점,마무리"</x:formula1>
    </x:dataValidation>
    <x:dataValidation type="list" sqref="G9:G28">
      <x:formula1>"웹사이트 녹화,Figma 설명 화면,혼합,타이틀 카드,B-roll/기타"</x:formula1>
    </x:dataValidation>
    <x:dataValidation type="list" sqref="M9:M28">
      <x:formula1>"초안 전,작성 중,검토 필요,확정,촬영 완료,편집 완료"</x:formula1>
    </x:dataValidation>
    <x:dataValidation type="whole" operator="between" sqref="E9:E28">
      <x:formula1>0</x:formula1>
      <x:formula2>300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4" hidden="0" customWidth="1"/>
    <x:col min="5" max="5" width="34" hidden="0" customWidth="1"/>
    <x:col min="6" max="6" width="14" hidden="0" customWidth="1"/>
    <x:col min="7" max="7" width="28" hidden="0" customWidth="1"/>
  </x:cols>
  <x:sheetData>
    <x:row r="1" ht="34" customHeight="1">
      <x:c r="A1" s="4" t="str">
        <x:v>구성안 비교</x:v>
      </x:c>
      <x:c r="B1" s="4" t="str">
        <x:v>구성안 비교</x:v>
      </x:c>
      <x:c r="C1" s="4" t="str">
        <x:v>구성안 비교</x:v>
      </x:c>
      <x:c r="D1" s="4" t="str">
        <x:v>구성안 비교</x:v>
      </x:c>
      <x:c r="E1" s="4" t="str">
        <x:v>구성안 비교</x:v>
      </x:c>
      <x:c r="F1" s="4" t="str">
        <x:v>구성안 비교</x:v>
      </x:c>
      <x:c r="G1" s="4" t="str">
        <x:v>구성안 비교</x:v>
      </x:c>
    </x:row>
    <x:row r="2" ht="28" customHeight="1">
      <x:c r="A2" s="8" t="str">
        <x:v>영상에서 무엇을 가장 먼저 설득할지에 따라 순서를 선택하세요. 길이는 목표 시간에 맞춰 비율로 조정합니다.</x:v>
      </x:c>
      <x:c r="B2" s="8" t="str">
        <x:v>영상에서 무엇을 가장 먼저 설득할지에 따라 순서를 선택하세요. 길이는 목표 시간에 맞춰 비율로 조정합니다.</x:v>
      </x:c>
      <x:c r="C2" s="8" t="str">
        <x:v>영상에서 무엇을 가장 먼저 설득할지에 따라 순서를 선택하세요. 길이는 목표 시간에 맞춰 비율로 조정합니다.</x:v>
      </x:c>
      <x:c r="D2" s="8" t="str">
        <x:v>영상에서 무엇을 가장 먼저 설득할지에 따라 순서를 선택하세요. 길이는 목표 시간에 맞춰 비율로 조정합니다.</x:v>
      </x:c>
      <x:c r="E2" s="8" t="str">
        <x:v>영상에서 무엇을 가장 먼저 설득할지에 따라 순서를 선택하세요. 길이는 목표 시간에 맞춰 비율로 조정합니다.</x:v>
      </x:c>
      <x:c r="F2" s="8" t="str">
        <x:v>영상에서 무엇을 가장 먼저 설득할지에 따라 순서를 선택하세요. 길이는 목표 시간에 맞춰 비율로 조정합니다.</x:v>
      </x:c>
      <x:c r="G2" s="8" t="str">
        <x:v>영상에서 무엇을 가장 먼저 설득할지에 따라 순서를 선택하세요. 길이는 목표 시간에 맞춰 비율로 조정합니다.</x:v>
      </x:c>
    </x:row>
    <x:row r="4" ht="30" customHeight="1">
      <x:c r="A4" s="61" t="str">
        <x:v>안</x:v>
      </x:c>
      <x:c r="B4" s="62" t="str">
        <x:v>추천 상황</x:v>
      </x:c>
      <x:c r="C4" s="62" t="str">
        <x:v>순서</x:v>
      </x:c>
      <x:c r="D4" s="62" t="str">
        <x:v>장점</x:v>
      </x:c>
      <x:c r="E4" s="62" t="str">
        <x:v>주의점</x:v>
      </x:c>
      <x:c r="F4" s="62" t="str">
        <x:v>권장 길이</x:v>
      </x:c>
      <x:c r="G4" s="63" t="str">
        <x:v>선택/메모</x:v>
      </x:c>
    </x:row>
    <x:row r="5" ht="88" customHeight="1">
      <x:c r="A5" s="90" t="str">
        <x:v>A안 · 가치→사용→기술 (추천)</x:v>
      </x:c>
      <x:c r="B5" s="25" t="str">
        <x:v>심사자가 프로젝트를 처음 접하고, 문제 해결력과 완성도를 균형 있게 봐야 할 때</x:v>
      </x:c>
      <x:c r="C5" s="25" t="str">
        <x:v>문제/가치 → 프로젝트 소개 → 사용자 흐름+데모 → 기술 흐름 → 개발 워크플로 → 느낀점</x:v>
      </x:c>
      <x:c r="D5" s="25" t="str">
        <x:v>맥락을 이해한 뒤 데모를 보므로 이해가 쉽고 안정적</x:v>
      </x:c>
      <x:c r="E5" s="25" t="str">
        <x:v>전체 시간의 약 20% 안에 데모 진입</x:v>
      </x:c>
      <x:c r="F5" s="25" t="str">
        <x:v>목표의 90~97%</x:v>
      </x:c>
      <x:c r="G5" s="25" t="str"/>
    </x:row>
    <x:row r="6" ht="88" customHeight="1">
      <x:c r="A6" s="91" t="str">
        <x:v>B안 · 데모 우선</x:v>
      </x:c>
      <x:c r="B6" s="26" t="str">
        <x:v>화면 결과가 매우 강하고 첫인상으로 시선을 잡을 수 있을 때</x:v>
      </x:c>
      <x:c r="C6" s="26" t="str">
        <x:v>하이라이트 데모 → 문제/프로젝트 소개 → 전체 사용자 흐름 → 기술 흐름 → 개발 과정 → 느낀점</x:v>
      </x:c>
      <x:c r="D6" s="26" t="str">
        <x:v>초반 몰입도가 높고 결과물이 기억에 남음</x:v>
      </x:c>
      <x:c r="E6" s="26" t="str">
        <x:v>맥락 없는 클릭 영상처럼 보이지 않도록 초반에 가치 문장 필요</x:v>
      </x:c>
      <x:c r="F6" s="26" t="str">
        <x:v>목표의 85~95%</x:v>
      </x:c>
      <x:c r="G6" s="26" t="str"/>
    </x:row>
    <x:row r="7" ht="88" customHeight="1">
      <x:c r="A7" s="91" t="str">
        <x:v>C안 · 과정 중심</x:v>
      </x:c>
      <x:c r="B7" s="26" t="str">
        <x:v>챌린지의 학습·개발 과정과 문제 해결을 특히 강조해야 할 때</x:v>
      </x:c>
      <x:c r="C7" s="26" t="str">
        <x:v>문제 → 개발 워크플로 → 해결한 난관 → 완성 프로젝트 → 사용자/기술 흐름 → 느낀점</x:v>
      </x:c>
      <x:c r="D7" s="26" t="str">
        <x:v>성장 과정과 기술적 판단이 잘 드러남</x:v>
      </x:c>
      <x:c r="E7" s="26" t="str">
        <x:v>실제 제품 데모가 늦어져 결과물 인상이 약해질 수 있음</x:v>
      </x:c>
      <x:c r="F7" s="26" t="str">
        <x:v>목표의 90~97%</x:v>
      </x:c>
      <x:c r="G7" s="26" t="str"/>
    </x:row>
    <x:row r="10" ht="54" customHeight="1">
      <x:c r="A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  <x:c r="B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  <x:c r="C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  <x:c r="D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  <x:c r="E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  <x:c r="F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  <x:c r="G10" s="93" t="str">
        <x:v>추천 연결 방식: 사용자 흐름에서 한 행동을 보여준 직후, 같은 행동의 기술 흐름을 Figma 다이어그램으로 설명하거나, 전체 데모 뒤 핵심 행동 1개만 골라 기술 흐름을 복기합니다.</x:v>
      </x:c>
    </x:row>
  </x:sheetData>
  <x:mergeCells>
    <x:mergeCell ref="A1:G1"/>
    <x:mergeCell ref="A2:G2"/>
    <x:mergeCell ref="A10:G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8" hidden="0" customWidth="1"/>
    <x:col min="5" max="5" width="38" hidden="0" customWidth="1"/>
    <x:col min="6" max="6" width="32" hidden="0" customWidth="1"/>
    <x:col min="7" max="7" width="12" hidden="0" customWidth="1"/>
    <x:col min="8" max="8" width="13" hidden="0" customWidth="1"/>
    <x:col min="9" max="9" width="13" hidden="0" customWidth="1"/>
    <x:col min="10" max="10" width="34" hidden="0" customWidth="1"/>
  </x:cols>
  <x:sheetData>
    <x:row r="1" ht="34" customHeight="1">
      <x:c r="A1" s="4" t="str">
        <x:v>Figma 제작 목록</x:v>
      </x:c>
      <x:c r="B1" s="4" t="str">
        <x:v>Figma 제작 목록</x:v>
      </x:c>
      <x:c r="C1" s="4" t="str">
        <x:v>Figma 제작 목록</x:v>
      </x:c>
      <x:c r="D1" s="4" t="str">
        <x:v>Figma 제작 목록</x:v>
      </x:c>
      <x:c r="E1" s="4" t="str">
        <x:v>Figma 제작 목록</x:v>
      </x:c>
      <x:c r="F1" s="4" t="str">
        <x:v>Figma 제작 목록</x:v>
      </x:c>
      <x:c r="G1" s="4" t="str">
        <x:v>Figma 제작 목록</x:v>
      </x:c>
      <x:c r="H1" s="4" t="str">
        <x:v>Figma 제작 목록</x:v>
      </x:c>
      <x:c r="I1" s="4" t="str">
        <x:v>Figma 제작 목록</x:v>
      </x:c>
      <x:c r="J1" s="4" t="str">
        <x:v>Figma 제작 목록</x:v>
      </x:c>
    </x:row>
    <x:row r="2" ht="28" customHeight="1">
      <x:c r="A2" s="8" t="str">
        <x:v>시나리오의 Figma 설명 요소를 실제 제작 단위로 쪼개어 관리합니다.</x:v>
      </x:c>
      <x:c r="B2" s="8" t="str">
        <x:v>시나리오의 Figma 설명 요소를 실제 제작 단위로 쪼개어 관리합니다.</x:v>
      </x:c>
      <x:c r="C2" s="8" t="str">
        <x:v>시나리오의 Figma 설명 요소를 실제 제작 단위로 쪼개어 관리합니다.</x:v>
      </x:c>
      <x:c r="D2" s="8" t="str">
        <x:v>시나리오의 Figma 설명 요소를 실제 제작 단위로 쪼개어 관리합니다.</x:v>
      </x:c>
      <x:c r="E2" s="8" t="str">
        <x:v>시나리오의 Figma 설명 요소를 실제 제작 단위로 쪼개어 관리합니다.</x:v>
      </x:c>
      <x:c r="F2" s="8" t="str">
        <x:v>시나리오의 Figma 설명 요소를 실제 제작 단위로 쪼개어 관리합니다.</x:v>
      </x:c>
      <x:c r="G2" s="8" t="str">
        <x:v>시나리오의 Figma 설명 요소를 실제 제작 단위로 쪼개어 관리합니다.</x:v>
      </x:c>
      <x:c r="H2" s="8" t="str">
        <x:v>시나리오의 Figma 설명 요소를 실제 제작 단위로 쪼개어 관리합니다.</x:v>
      </x:c>
      <x:c r="I2" s="8" t="str">
        <x:v>시나리오의 Figma 설명 요소를 실제 제작 단위로 쪼개어 관리합니다.</x:v>
      </x:c>
      <x:c r="J2" s="8" t="str">
        <x:v>시나리오의 Figma 설명 요소를 실제 제작 단위로 쪼개어 관리합니다.</x:v>
      </x:c>
    </x:row>
    <x:row r="4" ht="30" customHeight="1">
      <x:c r="A4" s="61" t="str">
        <x:v>Asset ID</x:v>
      </x:c>
      <x:c r="B4" s="62" t="str">
        <x:v>시나리오 #</x:v>
      </x:c>
      <x:c r="C4" s="62" t="str">
        <x:v>유형</x:v>
      </x:c>
      <x:c r="D4" s="62" t="str">
        <x:v>목적</x:v>
      </x:c>
      <x:c r="E4" s="62" t="str">
        <x:v>필수 내용</x:v>
      </x:c>
      <x:c r="F4" s="62" t="str">
        <x:v>강조/애니메이션</x:v>
      </x:c>
      <x:c r="G4" s="62" t="str">
        <x:v>화면 비율</x:v>
      </x:c>
      <x:c r="H4" s="62" t="str">
        <x:v>예상 노출</x:v>
      </x:c>
      <x:c r="I4" s="62" t="str">
        <x:v>상태</x:v>
      </x:c>
      <x:c r="J4" s="63" t="str">
        <x:v>Figma 링크·메모</x:v>
      </x:c>
    </x:row>
    <x:row r="5" ht="58" customHeight="1">
      <x:c r="A5" s="25" t="str">
        <x:v>FG-01</x:v>
      </x:c>
      <x:c r="B5" s="25" t="n">
        <x:v>1</x:v>
      </x:c>
      <x:c r="C5" s="25" t="str">
        <x:v>타이틀 카드</x:v>
      </x:c>
      <x:c r="D5" s="25" t="str">
        <x:v>프로젝트를 한 문장으로 기억시킴</x:v>
      </x:c>
      <x:c r="E5" s="25" t="str">
        <x:v>프로젝트명, 한 줄 가치, 로고/대표 화면</x:v>
      </x:c>
      <x:c r="F5" s="25" t="str">
        <x:v>제목 페이드인, 핵심 단어 컬러 강조</x:v>
      </x:c>
      <x:c r="G5" s="25" t="str">
        <x:v>16:9</x:v>
      </x:c>
      <x:c r="H5" s="25" t="str">
        <x:v>5~8초</x:v>
      </x:c>
      <x:c r="I5" s="25" t="str">
        <x:v>미착수</x:v>
      </x:c>
      <x:c r="J5" s="25" t="str"/>
    </x:row>
    <x:row r="6" ht="58" customHeight="1">
      <x:c r="A6" s="26" t="str">
        <x:v>FG-02</x:v>
      </x:c>
      <x:c r="B6" s="26" t="n">
        <x:v>2</x:v>
      </x:c>
      <x:c r="C6" s="26" t="str">
        <x:v>Before/After</x:v>
      </x:c>
      <x:c r="D6" s="26" t="str">
        <x:v>기존 문제와 개선 효과 비교</x:v>
      </x:c>
      <x:c r="E6" s="26" t="str">
        <x:v>기존 불편 2개, 개선점 2개</x:v>
      </x:c>
      <x:c r="F6" s="26" t="str">
        <x:v>좌→우 전환 또는 가운데 화살표</x:v>
      </x:c>
      <x:c r="G6" s="26" t="str">
        <x:v>16:9</x:v>
      </x:c>
      <x:c r="H6" s="26" t="str">
        <x:v>15~20초</x:v>
      </x:c>
      <x:c r="I6" s="26" t="str">
        <x:v>미착수</x:v>
      </x:c>
      <x:c r="J6" s="26" t="str"/>
    </x:row>
    <x:row r="7" ht="58" customHeight="1">
      <x:c r="A7" s="26" t="str">
        <x:v>FG-03</x:v>
      </x:c>
      <x:c r="B7" s="26" t="n">
        <x:v>4</x:v>
      </x:c>
      <x:c r="C7" s="26" t="str">
        <x:v>사용자 흐름</x:v>
      </x:c>
      <x:c r="D7" s="26" t="str">
        <x:v>대표 사용 단계를 단순화</x:v>
      </x:c>
      <x:c r="E7" s="26" t="str">
        <x:v>사용자, 행동 3단계, 결과</x:v>
      </x:c>
      <x:c r="F7" s="26" t="str">
        <x:v>현재 단계만 컬러, 나머지는 흐리게</x:v>
      </x:c>
      <x:c r="G7" s="26" t="str">
        <x:v>16:9</x:v>
      </x:c>
      <x:c r="H7" s="26" t="str">
        <x:v>10~15초</x:v>
      </x:c>
      <x:c r="I7" s="26" t="str">
        <x:v>미착수</x:v>
      </x:c>
      <x:c r="J7" s="26" t="str"/>
    </x:row>
    <x:row r="8" ht="58" customHeight="1">
      <x:c r="A8" s="26" t="str">
        <x:v>FG-04</x:v>
      </x:c>
      <x:c r="B8" s="26" t="n">
        <x:v>6</x:v>
      </x:c>
      <x:c r="C8" s="26" t="str">
        <x:v>기술 흐름</x:v>
      </x:c>
      <x:c r="D8" s="26" t="str">
        <x:v>화면 행동과 시스템 처리를 연결</x:v>
      </x:c>
      <x:c r="E8" s="26" t="str">
        <x:v>Frontend, Backend, DB, AI/API, Response</x:v>
      </x:c>
      <x:c r="F8" s="26" t="str">
        <x:v>연결선을 단계별로 강조</x:v>
      </x:c>
      <x:c r="G8" s="26" t="str">
        <x:v>16:9</x:v>
      </x:c>
      <x:c r="H8" s="26" t="str">
        <x:v>30~40초</x:v>
      </x:c>
      <x:c r="I8" s="26" t="str">
        <x:v>미착수</x:v>
      </x:c>
      <x:c r="J8" s="26" t="str"/>
    </x:row>
    <x:row r="9" ht="58" customHeight="1">
      <x:c r="A9" s="26" t="str">
        <x:v>FG-05</x:v>
      </x:c>
      <x:c r="B9" s="26" t="n">
        <x:v>7</x:v>
      </x:c>
      <x:c r="C9" s="26" t="str">
        <x:v>개발 타임라인</x:v>
      </x:c>
      <x:c r="D9" s="26" t="str">
        <x:v>개발 반복 과정을 보여줌</x:v>
      </x:c>
      <x:c r="E9" s="26" t="str">
        <x:v>기획, 디자인, 구현, 테스트, 개선</x:v>
      </x:c>
      <x:c r="F9" s="26" t="str">
        <x:v>단계별 등장, 개선 루프 화살표</x:v>
      </x:c>
      <x:c r="G9" s="26" t="str">
        <x:v>16:9</x:v>
      </x:c>
      <x:c r="H9" s="26" t="str">
        <x:v>20~30초</x:v>
      </x:c>
      <x:c r="I9" s="26" t="str">
        <x:v>미착수</x:v>
      </x:c>
      <x:c r="J9" s="26" t="str"/>
    </x:row>
    <x:row r="10" ht="58" customHeight="1">
      <x:c r="A10" s="26" t="str">
        <x:v>FG-06</x:v>
      </x:c>
      <x:c r="B10" s="26" t="n">
        <x:v>9</x:v>
      </x:c>
      <x:c r="C10" s="26" t="str">
        <x:v>회고 카드</x:v>
      </x:c>
      <x:c r="D10" s="26" t="str">
        <x:v>배운 점과 다음 방향 요약</x:v>
      </x:c>
      <x:c r="E10" s="26" t="str">
        <x:v>Learned 2개, Next 1개</x:v>
      </x:c>
      <x:c r="F10" s="26" t="str">
        <x:v>키워드 순차 등장</x:v>
      </x:c>
      <x:c r="G10" s="26" t="str">
        <x:v>16:9</x:v>
      </x:c>
      <x:c r="H10" s="26" t="str">
        <x:v>15~20초</x:v>
      </x:c>
      <x:c r="I10" s="26" t="str">
        <x:v>미착수</x:v>
      </x:c>
      <x:c r="J10" s="26" t="str"/>
    </x:row>
    <x:row r="11" ht="58" customHeight="1">
      <x:c r="A11" s="26" t="str"/>
      <x:c r="B11" s="26" t="str"/>
      <x:c r="C11" s="26" t="str"/>
      <x:c r="D11" s="26" t="str"/>
      <x:c r="E11" s="26" t="str"/>
      <x:c r="F11" s="26" t="str"/>
      <x:c r="G11" s="26" t="str">
        <x:v>16:9</x:v>
      </x:c>
      <x:c r="H11" s="26" t="str"/>
      <x:c r="I11" s="26" t="str">
        <x:v>미착수</x:v>
      </x:c>
      <x:c r="J11" s="26" t="str"/>
    </x:row>
    <x:row r="12" ht="58" customHeight="1">
      <x:c r="A12" s="26" t="str"/>
      <x:c r="B12" s="26" t="str"/>
      <x:c r="C12" s="26" t="str"/>
      <x:c r="D12" s="26" t="str"/>
      <x:c r="E12" s="26" t="str"/>
      <x:c r="F12" s="26" t="str"/>
      <x:c r="G12" s="26" t="str">
        <x:v>16:9</x:v>
      </x:c>
      <x:c r="H12" s="26" t="str"/>
      <x:c r="I12" s="26" t="str">
        <x:v>미착수</x:v>
      </x:c>
      <x:c r="J12" s="26" t="str"/>
    </x:row>
    <x:row r="13" ht="58" customHeight="1">
      <x:c r="A13" s="26" t="str"/>
      <x:c r="B13" s="26" t="str"/>
      <x:c r="C13" s="26" t="str"/>
      <x:c r="D13" s="26" t="str"/>
      <x:c r="E13" s="26" t="str"/>
      <x:c r="F13" s="26" t="str"/>
      <x:c r="G13" s="26" t="str">
        <x:v>16:9</x:v>
      </x:c>
      <x:c r="H13" s="26" t="str"/>
      <x:c r="I13" s="26" t="str">
        <x:v>미착수</x:v>
      </x:c>
      <x:c r="J13" s="26" t="str"/>
    </x:row>
    <x:row r="14" ht="58" customHeight="1">
      <x:c r="A14" s="26" t="str"/>
      <x:c r="B14" s="26" t="str"/>
      <x:c r="C14" s="26" t="str"/>
      <x:c r="D14" s="26" t="str"/>
      <x:c r="E14" s="26" t="str"/>
      <x:c r="F14" s="26" t="str"/>
      <x:c r="G14" s="26" t="str">
        <x:v>16:9</x:v>
      </x:c>
      <x:c r="H14" s="26" t="str"/>
      <x:c r="I14" s="26" t="str">
        <x:v>미착수</x:v>
      </x:c>
      <x:c r="J14" s="26" t="str"/>
    </x:row>
    <x:row r="15" ht="58" customHeight="1">
      <x:c r="A15" s="26" t="str"/>
      <x:c r="B15" s="26" t="str"/>
      <x:c r="C15" s="26" t="str"/>
      <x:c r="D15" s="26" t="str"/>
      <x:c r="E15" s="26" t="str"/>
      <x:c r="F15" s="26" t="str"/>
      <x:c r="G15" s="26" t="str">
        <x:v>16:9</x:v>
      </x:c>
      <x:c r="H15" s="26" t="str"/>
      <x:c r="I15" s="26" t="str">
        <x:v>미착수</x:v>
      </x:c>
      <x:c r="J15" s="26" t="str"/>
    </x:row>
    <x:row r="16" ht="58" customHeight="1">
      <x:c r="A16" s="26" t="str"/>
      <x:c r="B16" s="26" t="str"/>
      <x:c r="C16" s="26" t="str"/>
      <x:c r="D16" s="26" t="str"/>
      <x:c r="E16" s="26" t="str"/>
      <x:c r="F16" s="26" t="str"/>
      <x:c r="G16" s="26" t="str">
        <x:v>16:9</x:v>
      </x:c>
      <x:c r="H16" s="26" t="str"/>
      <x:c r="I16" s="26" t="str">
        <x:v>미착수</x:v>
      </x:c>
      <x:c r="J16" s="26" t="str"/>
    </x:row>
    <x:row r="17" ht="58" customHeight="1">
      <x:c r="A17" s="26" t="str"/>
      <x:c r="B17" s="26" t="str"/>
      <x:c r="C17" s="26" t="str"/>
      <x:c r="D17" s="26" t="str"/>
      <x:c r="E17" s="26" t="str"/>
      <x:c r="F17" s="26" t="str"/>
      <x:c r="G17" s="26" t="str">
        <x:v>16:9</x:v>
      </x:c>
      <x:c r="H17" s="26" t="str"/>
      <x:c r="I17" s="26" t="str">
        <x:v>미착수</x:v>
      </x:c>
      <x:c r="J17" s="26" t="str"/>
    </x:row>
    <x:row r="18" ht="58" customHeight="1">
      <x:c r="A18" s="26" t="str"/>
      <x:c r="B18" s="26" t="str"/>
      <x:c r="C18" s="26" t="str"/>
      <x:c r="D18" s="26" t="str"/>
      <x:c r="E18" s="26" t="str"/>
      <x:c r="F18" s="26" t="str"/>
      <x:c r="G18" s="26" t="str">
        <x:v>16:9</x:v>
      </x:c>
      <x:c r="H18" s="26" t="str"/>
      <x:c r="I18" s="26" t="str">
        <x:v>미착수</x:v>
      </x:c>
      <x:c r="J18" s="26" t="str"/>
    </x:row>
    <x:row r="19" ht="58" customHeight="1">
      <x:c r="A19" s="26" t="str"/>
      <x:c r="B19" s="26" t="str"/>
      <x:c r="C19" s="26" t="str"/>
      <x:c r="D19" s="26" t="str"/>
      <x:c r="E19" s="26" t="str"/>
      <x:c r="F19" s="26" t="str"/>
      <x:c r="G19" s="26" t="str">
        <x:v>16:9</x:v>
      </x:c>
      <x:c r="H19" s="26" t="str"/>
      <x:c r="I19" s="26" t="str">
        <x:v>미착수</x:v>
      </x:c>
      <x:c r="J19" s="26" t="str"/>
    </x:row>
    <x:row r="20" ht="58" customHeight="1">
      <x:c r="A20" s="26" t="str"/>
      <x:c r="B20" s="26" t="str"/>
      <x:c r="C20" s="26" t="str"/>
      <x:c r="D20" s="26" t="str"/>
      <x:c r="E20" s="26" t="str"/>
      <x:c r="F20" s="26" t="str"/>
      <x:c r="G20" s="26" t="str">
        <x:v>16:9</x:v>
      </x:c>
      <x:c r="H20" s="26" t="str"/>
      <x:c r="I20" s="26" t="str">
        <x:v>미착수</x:v>
      </x:c>
      <x:c r="J20" s="26" t="str"/>
    </x:row>
  </x:sheetData>
  <x:mergeCells>
    <x:mergeCell ref="A1:J1"/>
    <x:mergeCell ref="A2:J2"/>
  </x:mergeCells>
  <x:dataValidations count="2">
    <x:dataValidation type="list" sqref="C5:C20">
      <x:formula1>"타이틀 카드,Before/After,사용자 흐름,기술 흐름,타임라인,콜아웃,회고 카드,기타"</x:formula1>
    </x:dataValidation>
    <x:dataValidation type="list" sqref="I5:I20">
      <x:formula1>"미착수,제작 중,검토 필요,완료"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14" hidden="0" customWidth="1"/>
    <x:col min="5" max="5" width="13" hidden="0" customWidth="1"/>
    <x:col min="6" max="6" width="14" hidden="0" customWidth="1"/>
    <x:col min="7" max="7" width="32" hidden="0" customWidth="1"/>
  </x:cols>
  <x:sheetData>
    <x:row r="1" ht="34" customHeight="1">
      <x:c r="A1" s="4" t="str">
        <x:v>촬영·편집 체크리스트</x:v>
      </x:c>
      <x:c r="B1" s="4" t="str">
        <x:v>촬영·편집 체크리스트</x:v>
      </x:c>
      <x:c r="C1" s="4" t="str">
        <x:v>촬영·편집 체크리스트</x:v>
      </x:c>
      <x:c r="D1" s="4" t="str">
        <x:v>촬영·편집 체크리스트</x:v>
      </x:c>
      <x:c r="E1" s="4" t="str">
        <x:v>촬영·편집 체크리스트</x:v>
      </x:c>
      <x:c r="F1" s="4" t="str">
        <x:v>촬영·편집 체크리스트</x:v>
      </x:c>
      <x:c r="G1" s="4" t="str">
        <x:v>촬영·편집 체크리스트</x:v>
      </x:c>
    </x:row>
    <x:row r="2" ht="28" customHeight="1">
      <x:c r="A2" s="8" t="str">
        <x:v>웹사이트 녹화와 CapCut 편집에서 자주 놓치는 항목을 단계별로 확인합니다.</x:v>
      </x:c>
      <x:c r="B2" s="8" t="str">
        <x:v>웹사이트 녹화와 CapCut 편집에서 자주 놓치는 항목을 단계별로 확인합니다.</x:v>
      </x:c>
      <x:c r="C2" s="8" t="str">
        <x:v>웹사이트 녹화와 CapCut 편집에서 자주 놓치는 항목을 단계별로 확인합니다.</x:v>
      </x:c>
      <x:c r="D2" s="8" t="str">
        <x:v>웹사이트 녹화와 CapCut 편집에서 자주 놓치는 항목을 단계별로 확인합니다.</x:v>
      </x:c>
      <x:c r="E2" s="8" t="str">
        <x:v>웹사이트 녹화와 CapCut 편집에서 자주 놓치는 항목을 단계별로 확인합니다.</x:v>
      </x:c>
      <x:c r="F2" s="8" t="str">
        <x:v>웹사이트 녹화와 CapCut 편집에서 자주 놓치는 항목을 단계별로 확인합니다.</x:v>
      </x:c>
      <x:c r="G2" s="8" t="str">
        <x:v>웹사이트 녹화와 CapCut 편집에서 자주 놓치는 항목을 단계별로 확인합니다.</x:v>
      </x:c>
    </x:row>
    <x:row r="4" ht="30" customHeight="1">
      <x:c r="A4" s="61" t="str">
        <x:v>단계</x:v>
      </x:c>
      <x:c r="B4" s="62" t="str">
        <x:v>체크 항목</x:v>
      </x:c>
      <x:c r="C4" s="62" t="str">
        <x:v>완료 기준</x:v>
      </x:c>
      <x:c r="D4" s="62" t="str">
        <x:v>담당</x:v>
      </x:c>
      <x:c r="E4" s="62" t="str">
        <x:v>상태</x:v>
      </x:c>
      <x:c r="F4" s="62" t="str">
        <x:v>확인일</x:v>
      </x:c>
      <x:c r="G4" s="63" t="str">
        <x:v>메모</x:v>
      </x:c>
    </x:row>
    <x:row r="5" ht="44" customHeight="1">
      <x:c r="A5" s="25" t="str">
        <x:v>녹화 전</x:v>
      </x:c>
      <x:c r="B5" s="25" t="str">
        <x:v>데모 시나리오 리허설</x:v>
      </x:c>
      <x:c r="C5" s="25" t="str">
        <x:v>클릭·입력·결과 순서를 막힘 없이 2회 실행</x:v>
      </x:c>
      <x:c r="D5" s="25" t="str"/>
      <x:c r="E5" s="25" t="str">
        <x:v>미완료</x:v>
      </x:c>
      <x:c r="F5" s="94" t="str"/>
      <x:c r="G5" s="25" t="str"/>
    </x:row>
    <x:row r="6" ht="44" customHeight="1">
      <x:c r="A6" s="26" t="str">
        <x:v>녹화 전</x:v>
      </x:c>
      <x:c r="B6" s="26" t="str">
        <x:v>데모 데이터 정리</x:v>
      </x:c>
      <x:c r="C6" s="26" t="str">
        <x:v>개인정보·불필요한 테스트 데이터가 보이지 않음</x:v>
      </x:c>
      <x:c r="D6" s="26" t="str"/>
      <x:c r="E6" s="26" t="str">
        <x:v>미완료</x:v>
      </x:c>
      <x:c r="F6" s="95" t="str"/>
      <x:c r="G6" s="26" t="str"/>
    </x:row>
    <x:row r="7" ht="44" customHeight="1">
      <x:c r="A7" s="26" t="str">
        <x:v>녹화 전</x:v>
      </x:c>
      <x:c r="B7" s="26" t="str">
        <x:v>브라우저 상태</x:v>
      </x:c>
      <x:c r="C7" s="26" t="str">
        <x:v>북마크바·알림·확장 프로그램 팝업을 숨김</x:v>
      </x:c>
      <x:c r="D7" s="26" t="str"/>
      <x:c r="E7" s="26" t="str">
        <x:v>미완료</x:v>
      </x:c>
      <x:c r="F7" s="95" t="str"/>
      <x:c r="G7" s="26" t="str"/>
    </x:row>
    <x:row r="8" ht="44" customHeight="1">
      <x:c r="A8" s="26" t="str">
        <x:v>녹화 전</x:v>
      </x:c>
      <x:c r="B8" s="26" t="str">
        <x:v>해상도와 배율</x:v>
      </x:c>
      <x:c r="C8" s="26" t="str">
        <x:v>최종 영상과 동일한 16:9, 글자가 읽히는 배율</x:v>
      </x:c>
      <x:c r="D8" s="26" t="str"/>
      <x:c r="E8" s="26" t="str">
        <x:v>미완료</x:v>
      </x:c>
      <x:c r="F8" s="95" t="str"/>
      <x:c r="G8" s="26" t="str"/>
    </x:row>
    <x:row r="9" ht="44" customHeight="1">
      <x:c r="A9" s="26" t="str">
        <x:v>녹화</x:v>
      </x:c>
      <x:c r="B9" s="26" t="str">
        <x:v>클릭 전후 여백</x:v>
      </x:c>
      <x:c r="C9" s="26" t="str">
        <x:v>각 클릭 전후 최소 0.5초 정지</x:v>
      </x:c>
      <x:c r="D9" s="26" t="str"/>
      <x:c r="E9" s="26" t="str">
        <x:v>미완료</x:v>
      </x:c>
      <x:c r="F9" s="95" t="str"/>
      <x:c r="G9" s="26" t="str"/>
    </x:row>
    <x:row r="10" ht="44" customHeight="1">
      <x:c r="A10" s="26" t="str">
        <x:v>녹화</x:v>
      </x:c>
      <x:c r="B10" s="26" t="str">
        <x:v>로딩/오류 대비</x:v>
      </x:c>
      <x:c r="C10" s="26" t="str">
        <x:v>성공 버전과 대체 컷을 별도로 녹화</x:v>
      </x:c>
      <x:c r="D10" s="26" t="str"/>
      <x:c r="E10" s="26" t="str">
        <x:v>미완료</x:v>
      </x:c>
      <x:c r="F10" s="95" t="str"/>
      <x:c r="G10" s="26" t="str"/>
    </x:row>
    <x:row r="11" ht="44" customHeight="1">
      <x:c r="A11" s="26" t="str">
        <x:v>Figma</x:v>
      </x:c>
      <x:c r="B11" s="26" t="str">
        <x:v>폰트·색상 통일</x:v>
      </x:c>
      <x:c r="C11" s="26" t="str">
        <x:v>웹사이트와 동일한 디자인 언어 사용</x:v>
      </x:c>
      <x:c r="D11" s="26" t="str"/>
      <x:c r="E11" s="26" t="str">
        <x:v>미완료</x:v>
      </x:c>
      <x:c r="F11" s="95" t="str"/>
      <x:c r="G11" s="26" t="str"/>
    </x:row>
    <x:row r="12" ht="44" customHeight="1">
      <x:c r="A12" s="26" t="str">
        <x:v>Figma</x:v>
      </x:c>
      <x:c r="B12" s="26" t="str">
        <x:v>단계별 강조</x:v>
      </x:c>
      <x:c r="C12" s="26" t="str">
        <x:v>한 화면에 모든 설명이 동시에 나타나지 않음</x:v>
      </x:c>
      <x:c r="D12" s="26" t="str"/>
      <x:c r="E12" s="26" t="str">
        <x:v>미완료</x:v>
      </x:c>
      <x:c r="F12" s="95" t="str"/>
      <x:c r="G12" s="26" t="str"/>
    </x:row>
    <x:row r="13" ht="44" customHeight="1">
      <x:c r="A13" s="26" t="str">
        <x:v>CapCut</x:v>
      </x:c>
      <x:c r="B13" s="26" t="str">
        <x:v>러프컷</x:v>
      </x:c>
      <x:c r="C13" s="26" t="str">
        <x:v>침묵·마우스 헤맴·중복 장면 제거</x:v>
      </x:c>
      <x:c r="D13" s="26" t="str"/>
      <x:c r="E13" s="26" t="str">
        <x:v>미완료</x:v>
      </x:c>
      <x:c r="F13" s="95" t="str"/>
      <x:c r="G13" s="26" t="str"/>
    </x:row>
    <x:row r="14" ht="44" customHeight="1">
      <x:c r="A14" s="26" t="str">
        <x:v>CapCut</x:v>
      </x:c>
      <x:c r="B14" s="26" t="str">
        <x:v>자막 가독성</x:v>
      </x:c>
      <x:c r="C14" s="26" t="str">
        <x:v>2줄 이내, 배경과 충분한 대비, 안전 영역 준수</x:v>
      </x:c>
      <x:c r="D14" s="26" t="str"/>
      <x:c r="E14" s="26" t="str">
        <x:v>미완료</x:v>
      </x:c>
      <x:c r="F14" s="95" t="str"/>
      <x:c r="G14" s="26" t="str"/>
    </x:row>
    <x:row r="15" ht="44" customHeight="1">
      <x:c r="A15" s="26" t="str">
        <x:v>CapCut</x:v>
      </x:c>
      <x:c r="B15" s="26" t="str">
        <x:v>음량 균형</x:v>
      </x:c>
      <x:c r="C15" s="26" t="str">
        <x:v>설명 음성/자막 중심, BGM이 설명을 방해하지 않음</x:v>
      </x:c>
      <x:c r="D15" s="26" t="str"/>
      <x:c r="E15" s="26" t="str">
        <x:v>미완료</x:v>
      </x:c>
      <x:c r="F15" s="95" t="str"/>
      <x:c r="G15" s="26" t="str"/>
    </x:row>
    <x:row r="16" ht="44" customHeight="1">
      <x:c r="A16" s="26" t="str">
        <x:v>최종</x:v>
      </x:c>
      <x:c r="B16" s="26" t="str">
        <x:v>전체 길이</x:v>
      </x:c>
      <x:c r="C16" s="26" t="str">
        <x:v>엔딩 포함 설정한 목표 시간 이내</x:v>
      </x:c>
      <x:c r="D16" s="26" t="str"/>
      <x:c r="E16" s="26" t="str">
        <x:v>미완료</x:v>
      </x:c>
      <x:c r="F16" s="95" t="str"/>
      <x:c r="G16" s="26" t="str"/>
    </x:row>
    <x:row r="17" ht="44" customHeight="1">
      <x:c r="A17" s="26" t="str">
        <x:v>최종</x:v>
      </x:c>
      <x:c r="B17" s="26" t="str">
        <x:v>첫 시청자 테스트</x:v>
      </x:c>
      <x:c r="C17" s="26" t="str">
        <x:v>프로젝트를 모르는 사람이 핵심 가치를 설명할 수 있음</x:v>
      </x:c>
      <x:c r="D17" s="26" t="str"/>
      <x:c r="E17" s="26" t="str">
        <x:v>미완료</x:v>
      </x:c>
      <x:c r="F17" s="95" t="str"/>
      <x:c r="G17" s="26" t="str"/>
    </x:row>
    <x:row r="18" ht="44" customHeight="1">
      <x:c r="A18" s="26" t="str">
        <x:v>최종</x:v>
      </x:c>
      <x:c r="B18" s="26" t="str">
        <x:v>내보내기</x:v>
      </x:c>
      <x:c r="C18" s="26" t="str">
        <x:v>1080p 이상으로 출력 후 처음부터 끝까지 재생 확인</x:v>
      </x:c>
      <x:c r="D18" s="26" t="str"/>
      <x:c r="E18" s="26" t="str">
        <x:v>미완료</x:v>
      </x:c>
      <x:c r="F18" s="95" t="str"/>
      <x:c r="G18" s="26" t="str"/>
    </x:row>
  </x:sheetData>
  <x:mergeCells>
    <x:mergeCell ref="A1:G1"/>
    <x:mergeCell ref="A2:G2"/>
  </x:mergeCells>
  <x:dataValidations count="1">
    <x:dataValidation type="list" sqref="E5:E18">
      <x:formula1>"미완료,진행 중,완료,해당 없음"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3" hidden="0" customWidth="1"/>
    <x:col min="4" max="4" width="36" hidden="0" customWidth="1"/>
    <x:col min="5" max="5" width="36" hidden="0" customWidth="1"/>
    <x:col min="6" max="6" width="14" hidden="0" customWidth="1"/>
  </x:cols>
  <x:sheetData>
    <x:row r="1" ht="34" customHeight="1">
      <x:c r="A1" s="4" t="str">
        <x:v>최종 점검</x:v>
      </x:c>
      <x:c r="B1" s="4" t="str">
        <x:v>최종 점검</x:v>
      </x:c>
      <x:c r="C1" s="4" t="str">
        <x:v>최종 점검</x:v>
      </x:c>
      <x:c r="D1" s="4" t="str">
        <x:v>최종 점검</x:v>
      </x:c>
      <x:c r="E1" s="4" t="str">
        <x:v>최종 점검</x:v>
      </x:c>
      <x:c r="F1" s="4" t="str">
        <x:v>최종 점검</x:v>
      </x:c>
    </x:row>
    <x:row r="2" ht="28" customHeight="1">
      <x:c r="A2" s="8" t="str">
        <x:v>각 기준을 1~5점으로 평가하고, 4점 미만 항목은 수정 메모를 남기세요.</x:v>
      </x:c>
      <x:c r="B2" s="8" t="str">
        <x:v>각 기준을 1~5점으로 평가하고, 4점 미만 항목은 수정 메모를 남기세요.</x:v>
      </x:c>
      <x:c r="C2" s="8" t="str">
        <x:v>각 기준을 1~5점으로 평가하고, 4점 미만 항목은 수정 메모를 남기세요.</x:v>
      </x:c>
      <x:c r="D2" s="8" t="str">
        <x:v>각 기준을 1~5점으로 평가하고, 4점 미만 항목은 수정 메모를 남기세요.</x:v>
      </x:c>
      <x:c r="E2" s="8" t="str">
        <x:v>각 기준을 1~5점으로 평가하고, 4점 미만 항목은 수정 메모를 남기세요.</x:v>
      </x:c>
      <x:c r="F2" s="8" t="str">
        <x:v>각 기준을 1~5점으로 평가하고, 4점 미만 항목은 수정 메모를 남기세요.</x:v>
      </x:c>
    </x:row>
    <x:row r="3">
      <x:c r="A3" s="40" t="str">
        <x:v>총점</x:v>
      </x:c>
      <x:c r="B3" s="97" t="n">
        <x:f>SUM(C10:C17)</x:f>
        <x:v>0</x:v>
      </x:c>
    </x:row>
    <x:row r="4">
      <x:c r="A4" s="40" t="str">
        <x:v>평균</x:v>
      </x:c>
      <x:c r="B4" s="96" t="str">
        <x:f>IFERROR(AVERAGE(C10:C17),"")</x:f>
      </x:c>
    </x:row>
    <x:row r="5">
      <x:c r="A5" s="40" t="str">
        <x:v>4점 미만 항목</x:v>
      </x:c>
      <x:c r="B5" s="47" t="n">
        <x:f>COUNT(C10:C17)-COUNTIF(C10:C17,"&gt;=4")</x:f>
        <x:v>0</x:v>
      </x:c>
    </x:row>
    <x:row r="6">
      <x:c r="A6" s="40" t="str">
        <x:v>예상 영상 길이</x:v>
      </x:c>
      <x:c r="B6" s="46" t="n">
        <x:f>'영상 시나리오'!B3</x:f>
        <x:v>0.003125</x:v>
      </x:c>
    </x:row>
    <x:row r="7">
      <x:c r="A7" s="40" t="str">
        <x:v>시간 판정</x:v>
      </x:c>
      <x:c r="B7" s="45" t="str">
        <x:f>'영상 시나리오'!B6</x:f>
        <x:v>목표 시간 이내</x:v>
      </x:c>
    </x:row>
    <x:row r="9" ht="30" customHeight="1">
      <x:c r="A9" s="61" t="str">
        <x:v>영역</x:v>
      </x:c>
      <x:c r="B9" s="62" t="str">
        <x:v>점검 질문</x:v>
      </x:c>
      <x:c r="C9" s="62" t="str">
        <x:v>점수(1~5)</x:v>
      </x:c>
      <x:c r="D9" s="62" t="str">
        <x:v>근거/문제점</x:v>
      </x:c>
      <x:c r="E9" s="62" t="str">
        <x:v>수정 액션</x:v>
      </x:c>
      <x:c r="F9" s="63" t="str">
        <x:v>확정 여부</x:v>
      </x:c>
    </x:row>
    <x:row r="10" ht="54" customHeight="1">
      <x:c r="A10" s="25" t="str">
        <x:v>프로젝트 소개</x:v>
      </x:c>
      <x:c r="B10" s="25" t="str">
        <x:v>30초 안에 누구의 어떤 문제를 해결하는지 이해되는가?</x:v>
      </x:c>
      <x:c r="C10" s="25" t="str"/>
      <x:c r="D10" s="25" t="str"/>
      <x:c r="E10" s="25" t="str"/>
      <x:c r="F10" s="25" t="str">
        <x:v>미확정</x:v>
      </x:c>
    </x:row>
    <x:row r="11" ht="54" customHeight="1">
      <x:c r="A11" s="26" t="str">
        <x:v>핵심 가치</x:v>
      </x:c>
      <x:c r="B11" s="26" t="str">
        <x:v>기능 나열이 아니라 사용자가 얻는 가치가 드러나는가?</x:v>
      </x:c>
      <x:c r="C11" s="26" t="str"/>
      <x:c r="D11" s="26" t="str"/>
      <x:c r="E11" s="26" t="str"/>
      <x:c r="F11" s="26" t="str">
        <x:v>미확정</x:v>
      </x:c>
    </x:row>
    <x:row r="12" ht="54" customHeight="1">
      <x:c r="A12" s="26" t="str">
        <x:v>사용자 흐름</x:v>
      </x:c>
      <x:c r="B12" s="26" t="str">
        <x:v>대표 사용 시나리오가 자연스럽고 실제 화면으로 증명되는가?</x:v>
      </x:c>
      <x:c r="C12" s="26" t="str"/>
      <x:c r="D12" s="26" t="str"/>
      <x:c r="E12" s="26" t="str"/>
      <x:c r="F12" s="26" t="str">
        <x:v>미확정</x:v>
      </x:c>
    </x:row>
    <x:row r="13" ht="54" customHeight="1">
      <x:c r="A13" s="26" t="str">
        <x:v>기술 흐름</x:v>
      </x:c>
      <x:c r="B13" s="26" t="str">
        <x:v>사용자 행동과 내부 처리 과정이 서로 연결되어 이해되는가?</x:v>
      </x:c>
      <x:c r="C13" s="26" t="str"/>
      <x:c r="D13" s="26" t="str"/>
      <x:c r="E13" s="26" t="str"/>
      <x:c r="F13" s="26" t="str">
        <x:v>미확정</x:v>
      </x:c>
    </x:row>
    <x:row r="14" ht="54" customHeight="1">
      <x:c r="A14" s="26" t="str">
        <x:v>개발 과정</x:v>
      </x:c>
      <x:c r="B14" s="26" t="str">
        <x:v>워크플로와 주요 의사결정, 문제 해결 방식이 드러나는가?</x:v>
      </x:c>
      <x:c r="C14" s="26" t="str"/>
      <x:c r="D14" s="26" t="str"/>
      <x:c r="E14" s="26" t="str"/>
      <x:c r="F14" s="26" t="str">
        <x:v>미확정</x:v>
      </x:c>
    </x:row>
    <x:row r="15" ht="54" customHeight="1">
      <x:c r="A15" s="26" t="str">
        <x:v>시각 설명</x:v>
      </x:c>
      <x:c r="B15" s="26" t="str">
        <x:v>Figma 요소가 화면을 가리지 않고 이해를 실제로 돕는가?</x:v>
      </x:c>
      <x:c r="C15" s="26" t="str"/>
      <x:c r="D15" s="26" t="str"/>
      <x:c r="E15" s="26" t="str"/>
      <x:c r="F15" s="26" t="str">
        <x:v>미확정</x:v>
      </x:c>
    </x:row>
    <x:row r="16" ht="54" customHeight="1">
      <x:c r="A16" s="26" t="str">
        <x:v>자막·편집</x:v>
      </x:c>
      <x:c r="B16" s="26" t="str">
        <x:v>자막이 간결하고 장면 전환 속도가 안정적인가?</x:v>
      </x:c>
      <x:c r="C16" s="26" t="str"/>
      <x:c r="D16" s="26" t="str"/>
      <x:c r="E16" s="26" t="str"/>
      <x:c r="F16" s="26" t="str">
        <x:v>미확정</x:v>
      </x:c>
    </x:row>
    <x:row r="17" ht="54" customHeight="1">
      <x:c r="A17" s="26" t="str">
        <x:v>회고·마무리</x:v>
      </x:c>
      <x:c r="B17" s="26" t="str">
        <x:v>배운 점이 구체적이고 프로젝트의 한 줄 가치로 끝나는가?</x:v>
      </x:c>
      <x:c r="C17" s="26" t="str"/>
      <x:c r="D17" s="26" t="str"/>
      <x:c r="E17" s="26" t="str"/>
      <x:c r="F17" s="26" t="str">
        <x:v>미확정</x:v>
      </x:c>
    </x:row>
  </x:sheetData>
  <x:mergeCells>
    <x:mergeCell ref="A1:F1"/>
    <x:mergeCell ref="A2:F2"/>
  </x:mergeCells>
  <x:conditionalFormatting sqref="C10:C17">
    <x:cfRule type="colorScale" priority="1">
      <x:colorScale>
        <x:cfvo type="min"/>
        <x:cfvo type="percentile" val="50"/>
        <x:cfvo type="max"/>
        <x:color rgb="FFF8B4B4"/>
        <x:color rgb="FFFFE29A"/>
        <x:color rgb="FFBDEBD6"/>
      </x:colorScale>
    </x:cfRule>
  </x:conditionalFormatting>
  <x:dataValidations count="2">
    <x:dataValidation type="whole" operator="between" sqref="C10:C17">
      <x:formula1>1</x:formula1>
      <x:formula2>5</x:formula2>
    </x:dataValidation>
    <x:dataValidation type="list" sqref="F10:F17">
      <x:formula1>"미확정,수정 필요,확정"</x:formula1>
    </x:dataValidation>
  </x:dataValidations>
  <x:pageMargins left="0.7" right="0.7" top="0.75" bottom="0.75" header="0.3" footer="0.3"/>
</x:worksheet>
</file>